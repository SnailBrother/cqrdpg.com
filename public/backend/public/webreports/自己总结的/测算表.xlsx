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Administrator\Desktop\技术报告模板-最后专门用来写技术的，7000\"/>
    </mc:Choice>
  </mc:AlternateContent>
  <xr:revisionPtr revIDLastSave="0" documentId="13_ncr:1_{28070B60-08BF-466B-9A21-CB1B8A0171FD}" xr6:coauthVersionLast="47" xr6:coauthVersionMax="47" xr10:uidLastSave="{00000000-0000-0000-0000-000000000000}"/>
  <bookViews>
    <workbookView xWindow="11190" yWindow="1215" windowWidth="21255" windowHeight="20550" tabRatio="831" activeTab="4" xr2:uid="{00000000-000D-0000-FFFF-FFFF00000000}"/>
  </bookViews>
  <sheets>
    <sheet name="封面" sheetId="9" r:id="rId1"/>
    <sheet name="司法归档目录" sheetId="7" r:id="rId2"/>
    <sheet name="档案目录" sheetId="8" state="hidden" r:id="rId3"/>
    <sheet name="收费涵" sheetId="10" r:id="rId4"/>
    <sheet name="测算表" sheetId="4" r:id="rId5"/>
    <sheet name="家具评估结果明细表" sheetId="12" r:id="rId6"/>
    <sheet name="案例照片" sheetId="11" r:id="rId7"/>
    <sheet name="家具案例" sheetId="13" r:id="rId8"/>
    <sheet name="收益法（带有租金比较）" sheetId="5" state="hidden" r:id="rId9"/>
    <sheet name="估价结果明细表" sheetId="2" state="hidden" r:id="rId10"/>
  </sheets>
  <externalReferences>
    <externalReference r:id="rId11"/>
    <externalReference r:id="rId12"/>
    <externalReference r:id="rId13"/>
  </externalReferences>
  <definedNames>
    <definedName name="_2023">估价结果明细表!#REF!</definedName>
    <definedName name="_2023年8月9日">估价结果明细表!#REF!</definedName>
    <definedName name="_xlnm.Print_Area" localSheetId="2">档案目录!$A$1:$E$34</definedName>
    <definedName name="_xlnm.Print_Area" localSheetId="5">家具评估结果明细表!$A$1:$F$21</definedName>
    <definedName name="_xlnm.Print_Area" localSheetId="3">收费涵!$A$1:$G$15</definedName>
    <definedName name="_xlnm.Print_Area" localSheetId="1">司法归档目录!$A$1:$E$36</definedName>
    <definedName name="Z_AE981602_F4CF_4366_B91E_697FDAE77D82_.wvu.Rows" localSheetId="9" hidden="1">估价结果明细表!#REF!</definedName>
    <definedName name="保险费">测算表!$E$151</definedName>
    <definedName name="保险费率">测算表!$H$153</definedName>
    <definedName name="报告出具日期">测算表!$D$14</definedName>
    <definedName name="报告出具日期大写">测算表!$D$17</definedName>
    <definedName name="报告有效期">测算表!$F$14</definedName>
    <definedName name="报告有效期大写">测算表!$F$17</definedName>
    <definedName name="比较法">测算表!$A$3</definedName>
    <definedName name="比较法测算结果单价">测算表!$J$90</definedName>
    <definedName name="比较法评估单价">测算表!$B$3</definedName>
    <definedName name="比较法评估总价">测算表!$C$3</definedName>
    <definedName name="比较法权重">测算表!$D$3</definedName>
    <definedName name="变现能力城建税计算方法">测算表!$B$167</definedName>
    <definedName name="变现能力地方税附加计算方法">测算表!$B$169</definedName>
    <definedName name="变现能力教育税附加计算方法">测算表!$B$168</definedName>
    <definedName name="变现能力其他费用计算方法">测算表!$B$172</definedName>
    <definedName name="变现能力所得税计算方法">测算表!$B$171</definedName>
    <definedName name="变现能力土地增值税计算方法">测算表!$B$170</definedName>
    <definedName name="变现能力增值税计算方法">测算表!$B$166</definedName>
    <definedName name="变现评估净值">测算表!$E$175</definedName>
    <definedName name="变现评估总价">测算表!$E$164</definedName>
    <definedName name="不存在或无法调查">[1]序列表!$I$2:$I$3</definedName>
    <definedName name="层高">测算表!$F$25</definedName>
    <definedName name="层高修正系数">测算表!$N$75</definedName>
    <definedName name="朝向修正系数">测算表!$N$72</definedName>
    <definedName name="城建税变现价格分析">测算表!$E$167</definedName>
    <definedName name="城建税取费依据">测算表!$C$167</definedName>
    <definedName name="出租或占用状况">测算表!$C$29</definedName>
    <definedName name="处置时涉及到的各项税费合计">测算表!$E$174</definedName>
    <definedName name="道路状况修正系数">测算表!$N$65</definedName>
    <definedName name="地方税附加变现分析">测算表!$E$169</definedName>
    <definedName name="地方税附加取费依据">测算表!$C$169</definedName>
    <definedName name="地形地势">测算表!$C$47</definedName>
    <definedName name="地质">测算表!$E$46</definedName>
    <definedName name="方位">测算表!$C$31</definedName>
    <definedName name="房地产和家具总价大写">测算表!$F$7</definedName>
    <definedName name="房地产和家具总价小写">测算表!$F$6</definedName>
    <definedName name="房地产综合评估单价">测算表!$E$3</definedName>
    <definedName name="房地产综合评估总价">测算表!$F$3</definedName>
    <definedName name="房屋用途">测算表!$D$22</definedName>
    <definedName name="放大">估价结果明细表!#REF!</definedName>
    <definedName name="分摊土地使用权面积">测算表!$B$23</definedName>
    <definedName name="公共及基础设施状况">测算表!$C$36</definedName>
    <definedName name="公共设施完备度修正系数">测算表!$N$67</definedName>
    <definedName name="共有情况">测算表!$D$21</definedName>
    <definedName name="共有宗地面积">测算表!$B$24</definedName>
    <definedName name="估价">#REF!</definedName>
    <definedName name="估价报告编号">测算表!$B$13</definedName>
    <definedName name="估价对象层高">测算表!$C$75</definedName>
    <definedName name="估价对象层高分">测算表!$J$75</definedName>
    <definedName name="估价对象朝向">测算表!$C$72</definedName>
    <definedName name="估价对象朝向分">测算表!$J$72</definedName>
    <definedName name="估价对象道路状况">测算表!$C$65</definedName>
    <definedName name="估价对象道路状况分">测算表!$J$65</definedName>
    <definedName name="估价对象公共设施完备度">测算表!$C$67</definedName>
    <definedName name="估价对象公共设施完备度分">测算表!$J$67</definedName>
    <definedName name="估价对象规划上限制">测算表!$C$69</definedName>
    <definedName name="估价对象规划上限制分">测算表!$J$69</definedName>
    <definedName name="估价对象基础设施完备度">测算表!$C$66</definedName>
    <definedName name="估价对象基础设施完备度分">测算表!$J$66</definedName>
    <definedName name="估价对象建筑总楼层">测算表!$C$56</definedName>
    <definedName name="估价对象交通状况">测算表!$C$68</definedName>
    <definedName name="估价对象交通状况分">测算表!$J$68</definedName>
    <definedName name="估价对象交易情况">测算表!$C$60</definedName>
    <definedName name="估价对象交易情况分">测算表!$J$60</definedName>
    <definedName name="估价对象结构">测算表!$C$74</definedName>
    <definedName name="估价对象结构分">测算表!$J$74</definedName>
    <definedName name="估价对象景观">测算表!$C$63</definedName>
    <definedName name="估价对象景观分">测算表!$J$63</definedName>
    <definedName name="估价对象居住适宜度">测算表!$C$71</definedName>
    <definedName name="估价对象居住适宜度分">测算表!$J$71</definedName>
    <definedName name="估价对象距区域商业中心的距离">测算表!$C$64</definedName>
    <definedName name="估价对象距区域商业中心的距离分">测算表!$J$64</definedName>
    <definedName name="估价对象空间布局">测算表!$C$79</definedName>
    <definedName name="估价对象空间布局分">测算表!$J$79</definedName>
    <definedName name="估价对象楼层">测算表!$C$70</definedName>
    <definedName name="估价对象楼层分">测算表!$J$70</definedName>
    <definedName name="估价对象面积">测算表!$C$81</definedName>
    <definedName name="估价对象面积分">测算表!$J$81</definedName>
    <definedName name="估价对象区位状况调整指数分">测算表!$J$73</definedName>
    <definedName name="估价对象权益状况调整指数分">测算表!$J$88</definedName>
    <definedName name="估价对象社会人文环境">测算表!$C$62</definedName>
    <definedName name="估价对象社会人文环境分">测算表!$J$62</definedName>
    <definedName name="估价对象实物状况调整指数分">测算表!$J$83</definedName>
    <definedName name="估价对象市场状况调整分">测算表!$J$59</definedName>
    <definedName name="估价对象通风采光">测算表!$C$78</definedName>
    <definedName name="估价对象通风采光分">测算表!$J$78</definedName>
    <definedName name="估价对象土地使用权类型">测算表!$C$84</definedName>
    <definedName name="估价对象土地使用权类型分">测算表!$J$84</definedName>
    <definedName name="估价对象土地使用权剩余使用年期">测算表!$C$85</definedName>
    <definedName name="估价对象土地使用权剩余使用年期分">测算表!$J$85</definedName>
    <definedName name="估价对象外观">测算表!$C$76</definedName>
    <definedName name="估价对象外观分">测算表!$J$76</definedName>
    <definedName name="估价对象物业管理">测算表!$C$80</definedName>
    <definedName name="估价对象物业管理分">测算表!$J$80</definedName>
    <definedName name="估价对象物业名称">测算表!$C$55</definedName>
    <definedName name="估价对象新旧程度">测算表!$C$82</definedName>
    <definedName name="估价对象新旧程度分">测算表!$J$82</definedName>
    <definedName name="估价对象有无抵押他项权">测算表!$C$87</definedName>
    <definedName name="估价对象有无抵押他项权分">测算表!$J$87</definedName>
    <definedName name="估价对象有无租约限制">测算表!$C$86</definedName>
    <definedName name="估价对象有无租约限制分">测算表!$J$86</definedName>
    <definedName name="估价对象装饰装修">测算表!$C$77</definedName>
    <definedName name="估价对象装饰装修分">测算表!$J$77</definedName>
    <definedName name="估价对象自然环境">测算表!$C$61</definedName>
    <definedName name="估价对象自然环境分">测算表!$J$61</definedName>
    <definedName name="估价对象坐落">测算表!$C$54</definedName>
    <definedName name="估价师">#REF!</definedName>
    <definedName name="估价师1">#REF!</definedName>
    <definedName name="估价师1联系电话">测算表!$F$15</definedName>
    <definedName name="估价师1名称">测算表!$B$15</definedName>
    <definedName name="估价师1注册号">测算表!$D$15</definedName>
    <definedName name="估价师2联系电话">测算表!$F$16</definedName>
    <definedName name="估价师2名称">测算表!$B$16</definedName>
    <definedName name="估价师2注册号">测算表!$D$16</definedName>
    <definedName name="估价委托人">测算表!$B$9</definedName>
    <definedName name="估价委托人联系人">测算表!$D$9</definedName>
    <definedName name="管理费">测算表!$C$151</definedName>
    <definedName name="管理费费率">测算表!$H$149</definedName>
    <definedName name="规划上限制修正系数">测算表!$N$69</definedName>
    <definedName name="哈哈">#REF!</definedName>
    <definedName name="环境">测算表!$C$35</definedName>
    <definedName name="基础设施完备度修正系数">测算表!$N$66</definedName>
    <definedName name="家具家电评估总价">测算表!$C$5</definedName>
    <definedName name="家具家电总价大写">测算表!$D$7</definedName>
    <definedName name="价值时点">测算表!$B$14</definedName>
    <definedName name="价值时点1">估价结果明细表!#REF!</definedName>
    <definedName name="价值时点大写">测算表!$B$17</definedName>
    <definedName name="建安">测算表!$H$142</definedName>
    <definedName name="建成时间">测算表!$F$22</definedName>
    <definedName name="建筑规模">测算表!$C$37</definedName>
    <definedName name="建筑结构">测算表!$D$25</definedName>
    <definedName name="建筑面积">测算表!$D$24</definedName>
    <definedName name="建筑外观状况">测算表!$C$42</definedName>
    <definedName name="建筑物剩余使用年限">测算表!$F$23</definedName>
    <definedName name="建筑物整栋楼层状况">测算表!$C$38</definedName>
    <definedName name="建筑物总楼层">测算表!$F$24</definedName>
    <definedName name="交通">测算表!$C$33</definedName>
    <definedName name="交通状况修正系数">测算表!$N$68</definedName>
    <definedName name="教育税附加变现价格分析">测算表!$E$168</definedName>
    <definedName name="教育税附加取费依据">测算表!$C$168</definedName>
    <definedName name="结构修正系数">测算表!$N$74</definedName>
    <definedName name="景观修正系数">测算表!$N$63</definedName>
    <definedName name="居住适宜度修正系数">测算表!$N$71</definedName>
    <definedName name="距离重要场所距离">测算表!$E$31</definedName>
    <definedName name="距区域商业中心的距离修正系数">测算表!$N$64</definedName>
    <definedName name="开发程度">测算表!$C$48</definedName>
    <definedName name="可比实例A测算修正单价">测算表!$K$89</definedName>
    <definedName name="可比实例A层高">测算表!$D$75</definedName>
    <definedName name="可比实例A层高分">测算表!$K$75</definedName>
    <definedName name="可比实例A朝向">测算表!$D$72</definedName>
    <definedName name="可比实例A朝向分">测算表!$K$72</definedName>
    <definedName name="可比实例A成交日期">测算表!$D$59</definedName>
    <definedName name="可比实例A单价">测算表!$D$58</definedName>
    <definedName name="可比实例A道路状况">测算表!$D$65</definedName>
    <definedName name="可比实例A道路状况分">测算表!$K$65</definedName>
    <definedName name="可比实例A公共设施完备度">测算表!$D$67</definedName>
    <definedName name="可比实例A公共设施完备度分">测算表!$K$67</definedName>
    <definedName name="可比实例A规划上限制">测算表!$D$69</definedName>
    <definedName name="可比实例A规划上限制分">测算表!$K$69</definedName>
    <definedName name="可比实例A基础设施完备度">测算表!$D$66</definedName>
    <definedName name="可比实例A基础设施完备度分">测算表!$K$66</definedName>
    <definedName name="可比实例A建筑总楼层">测算表!$D$56</definedName>
    <definedName name="可比实例A交通状况">测算表!$D$68</definedName>
    <definedName name="可比实例A交通状况分">测算表!$K$68</definedName>
    <definedName name="可比实例A交易情况">测算表!$D$60</definedName>
    <definedName name="可比实例A交易情况分">测算表!$K$60</definedName>
    <definedName name="可比实例A结构">测算表!$D$74</definedName>
    <definedName name="可比实例A结构分">测算表!$K$74</definedName>
    <definedName name="可比实例A景观">测算表!$D$63</definedName>
    <definedName name="可比实例A景观分">测算表!$K$63</definedName>
    <definedName name="可比实例A居住适宜度">测算表!$D$71</definedName>
    <definedName name="可比实例A居住适宜度分">测算表!$K$71</definedName>
    <definedName name="可比实例A距区域商业中心的距离">测算表!$D$64</definedName>
    <definedName name="可比实例A距区域商业中心的距离分">测算表!$K$64</definedName>
    <definedName name="可比实例A空间布局">测算表!$D$79</definedName>
    <definedName name="可比实例A空间布局分">测算表!$K$79</definedName>
    <definedName name="可比实例A楼层">测算表!$D$70</definedName>
    <definedName name="可比实例A楼层分">测算表!$K$70</definedName>
    <definedName name="可比实例A面积">测算表!$D$81</definedName>
    <definedName name="可比实例A面积分">测算表!$K$81</definedName>
    <definedName name="可比实例A区位状况调整指数分">测算表!$K$73</definedName>
    <definedName name="可比实例A权益状况调整指数分">测算表!$K$88</definedName>
    <definedName name="可比实例A社会人文环境">测算表!$D$62</definedName>
    <definedName name="可比实例A社会人文环境分">测算表!$K$62</definedName>
    <definedName name="可比实例A实物状况调整指数分">测算表!$K$83</definedName>
    <definedName name="可比实例A市场状况调整分">测算表!$K$59</definedName>
    <definedName name="可比实例A通风采光">测算表!$D$78</definedName>
    <definedName name="可比实例A通风采光分">测算表!$K$78</definedName>
    <definedName name="可比实例A土地使用权类型">测算表!$D$84</definedName>
    <definedName name="可比实例A土地使用权类型分">测算表!$K$84</definedName>
    <definedName name="可比实例A土地使用权剩余使用年期">测算表!$D$85</definedName>
    <definedName name="可比实例A土地使用权剩余使用年期分">测算表!$K$85</definedName>
    <definedName name="可比实例A外观">测算表!$D$76</definedName>
    <definedName name="可比实例A外观分">测算表!$K$76</definedName>
    <definedName name="可比实例A物业管理">测算表!$D$80</definedName>
    <definedName name="可比实例A物业管理分">测算表!$K$80</definedName>
    <definedName name="可比实例A物业名称">测算表!$D$55</definedName>
    <definedName name="可比实例A新旧程度">测算表!$D$82</definedName>
    <definedName name="可比实例A新旧程度分">测算表!$K$82</definedName>
    <definedName name="可比实例A有无抵押他项权">测算表!$D$87</definedName>
    <definedName name="可比实例A有无抵押他项权分">测算表!$K$87</definedName>
    <definedName name="可比实例A有无租约限制">测算表!$D$86</definedName>
    <definedName name="可比实例A有无租约限制分">测算表!$K$86</definedName>
    <definedName name="可比实例A装饰装修">测算表!$D$77</definedName>
    <definedName name="可比实例A装饰装修分">测算表!$K$77</definedName>
    <definedName name="可比实例A自然环境">测算表!$D$61</definedName>
    <definedName name="可比实例A自然环境分">测算表!$K$61</definedName>
    <definedName name="可比实例A总价">测算表!$D$57</definedName>
    <definedName name="可比实例A坐落">测算表!$D$54</definedName>
    <definedName name="可比实例B测算修正单价">测算表!$L$89</definedName>
    <definedName name="可比实例B层高">测算表!$E$75</definedName>
    <definedName name="可比实例B层高分">测算表!$L$75</definedName>
    <definedName name="可比实例B朝向">测算表!$E$72</definedName>
    <definedName name="可比实例B朝向分">测算表!$L$72</definedName>
    <definedName name="可比实例B成交日期">测算表!$E$59</definedName>
    <definedName name="可比实例B单价">测算表!$E$58</definedName>
    <definedName name="可比实例B道路状况">测算表!$E$65</definedName>
    <definedName name="可比实例B道路状况分">测算表!$L$65</definedName>
    <definedName name="可比实例B公共设施完备度">测算表!$E$67</definedName>
    <definedName name="可比实例B公共设施完备度分">测算表!$L$67</definedName>
    <definedName name="可比实例B规划上限制">测算表!$E$69</definedName>
    <definedName name="可比实例B规划上限制分">测算表!$L$69</definedName>
    <definedName name="可比实例B基础设施完备度">测算表!$E$66</definedName>
    <definedName name="可比实例B基础设施完备度分">测算表!$L$66</definedName>
    <definedName name="可比实例B建筑总楼层">测算表!$E$56</definedName>
    <definedName name="可比实例B交通状况">测算表!$E$68</definedName>
    <definedName name="可比实例B交通状况分">测算表!$L$68</definedName>
    <definedName name="可比实例B交易情况">测算表!$E$60</definedName>
    <definedName name="可比实例B交易情况分">测算表!$L$60</definedName>
    <definedName name="可比实例B结构">测算表!$E$74</definedName>
    <definedName name="可比实例B结构分">测算表!$L$74</definedName>
    <definedName name="可比实例B景观">测算表!$E$63</definedName>
    <definedName name="可比实例B景观分">测算表!$L$63</definedName>
    <definedName name="可比实例B居住适宜度">测算表!$E$71</definedName>
    <definedName name="可比实例B居住适宜度分">测算表!$L$71</definedName>
    <definedName name="可比实例B距区域商业中心的距离">测算表!$E$64</definedName>
    <definedName name="可比实例B距区域商业中心的距离分">测算表!$L$64</definedName>
    <definedName name="可比实例B空间布局">测算表!$E$79</definedName>
    <definedName name="可比实例B空间布局分">测算表!$L$79</definedName>
    <definedName name="可比实例B楼层">测算表!$E$70</definedName>
    <definedName name="可比实例B楼层分">测算表!$L$70</definedName>
    <definedName name="可比实例B面积">测算表!$E$81</definedName>
    <definedName name="可比实例B面积分">测算表!$L$81</definedName>
    <definedName name="可比实例B区位状况调整指数分">测算表!$L$73</definedName>
    <definedName name="可比实例B权益状况调整指数分">测算表!$L$88</definedName>
    <definedName name="可比实例B社会人文环境">测算表!$E$62</definedName>
    <definedName name="可比实例B社会人文环境分">测算表!$L$62</definedName>
    <definedName name="可比实例B实物状况调整指数分">测算表!$L$83</definedName>
    <definedName name="可比实例B市场状况调整分">测算表!$L$59</definedName>
    <definedName name="可比实例B通风采光">测算表!$E$78</definedName>
    <definedName name="可比实例B通风采光分">测算表!$L$78</definedName>
    <definedName name="可比实例B土地使用权类型">测算表!$E$84</definedName>
    <definedName name="可比实例B土地使用权类型分">测算表!$L$84</definedName>
    <definedName name="可比实例B土地使用权剩余使用年期">测算表!$E$85</definedName>
    <definedName name="可比实例B土地使用权剩余使用年期分">测算表!$L$85</definedName>
    <definedName name="可比实例B外观">测算表!$E$76</definedName>
    <definedName name="可比实例B外观分">测算表!$L$76</definedName>
    <definedName name="可比实例B物业管理">测算表!$E$80</definedName>
    <definedName name="可比实例B物业管理分">测算表!$L$80</definedName>
    <definedName name="可比实例B新旧程度">测算表!$E$82</definedName>
    <definedName name="可比实例B新旧程度分">测算表!$L$82</definedName>
    <definedName name="可比实例B有无抵押他项权">测算表!$E$87</definedName>
    <definedName name="可比实例B有无抵押他项权分">测算表!$L$87</definedName>
    <definedName name="可比实例B有无租约限制">测算表!$E$86</definedName>
    <definedName name="可比实例B有无租约限制分">测算表!$L$86</definedName>
    <definedName name="可比实例B装饰装修">测算表!$E$77</definedName>
    <definedName name="可比实例B装饰装修分">测算表!$L$77</definedName>
    <definedName name="可比实例B自然环境">测算表!$E$61</definedName>
    <definedName name="可比实例B自然环境分">测算表!$L$61</definedName>
    <definedName name="可比实例B总价">测算表!$E$57</definedName>
    <definedName name="可比实例B坐落">测算表!$E$54</definedName>
    <definedName name="可比实例C测算修正单价">测算表!$M$89</definedName>
    <definedName name="可比实例C层高">测算表!$F$75</definedName>
    <definedName name="可比实例C层高分">测算表!$M$75</definedName>
    <definedName name="可比实例C朝向">测算表!$F$72</definedName>
    <definedName name="可比实例C朝向分">测算表!$M$72</definedName>
    <definedName name="可比实例C成交日期">测算表!$F$59</definedName>
    <definedName name="可比实例C单价">测算表!$F$58</definedName>
    <definedName name="可比实例C道路状况">测算表!$F$65</definedName>
    <definedName name="可比实例C道路状况分">测算表!$M$65</definedName>
    <definedName name="可比实例C公共设施完备度">测算表!$F$67</definedName>
    <definedName name="可比实例C公共设施完备度分">测算表!$M$67</definedName>
    <definedName name="可比实例C规划上限制">测算表!$F$69</definedName>
    <definedName name="可比实例C规划上限制分">测算表!$M$69</definedName>
    <definedName name="可比实例C基础设施完备度">测算表!$F$66</definedName>
    <definedName name="可比实例C基础设施完备度分">测算表!$M$66</definedName>
    <definedName name="可比实例C建筑总楼层">测算表!$F$56</definedName>
    <definedName name="可比实例C交通状况">测算表!$F$68</definedName>
    <definedName name="可比实例C交通状况分">测算表!$M$68</definedName>
    <definedName name="可比实例C交易情况">测算表!$F$60</definedName>
    <definedName name="可比实例C交易情况分">测算表!$M$60</definedName>
    <definedName name="可比实例C结构">测算表!$F$74</definedName>
    <definedName name="可比实例C结构分">测算表!$M$74</definedName>
    <definedName name="可比实例C景观">测算表!$F$63</definedName>
    <definedName name="可比实例C景观分">测算表!$M$63</definedName>
    <definedName name="可比实例C居住适宜度">测算表!$F$71</definedName>
    <definedName name="可比实例C居住适宜度分">测算表!$M$71</definedName>
    <definedName name="可比实例C距区域商业中心的距离">测算表!$F$64</definedName>
    <definedName name="可比实例C距区域商业中心的距离分">测算表!$M$64</definedName>
    <definedName name="可比实例C空间布局">测算表!$F$79</definedName>
    <definedName name="可比实例C空间布局分">测算表!$M$79</definedName>
    <definedName name="可比实例C楼层">测算表!$F$70</definedName>
    <definedName name="可比实例C楼层分">测算表!$M$70</definedName>
    <definedName name="可比实例C面积">测算表!$F$81</definedName>
    <definedName name="可比实例C面积分">测算表!$M$81</definedName>
    <definedName name="可比实例C区位状况调整指数分">测算表!$M$73</definedName>
    <definedName name="可比实例C权益状况调整指数分">测算表!$M$88</definedName>
    <definedName name="可比实例C社会人文环境">测算表!$F$62</definedName>
    <definedName name="可比实例C社会人文环境分">测算表!$M$62</definedName>
    <definedName name="可比实例C实物状况调整指数分">测算表!$M$83</definedName>
    <definedName name="可比实例C市场状况调整分">测算表!$M$59</definedName>
    <definedName name="可比实例C通风采光">测算表!$F$78</definedName>
    <definedName name="可比实例C通风采光分">测算表!$M$78</definedName>
    <definedName name="可比实例C土地使用权类型">测算表!$F$84</definedName>
    <definedName name="可比实例C土地使用权类型分">测算表!$M$84</definedName>
    <definedName name="可比实例C土地使用权剩余使用年期">测算表!$F$85</definedName>
    <definedName name="可比实例C土地使用权剩余使用年期分">测算表!$M$85</definedName>
    <definedName name="可比实例C外观">测算表!$F$76</definedName>
    <definedName name="可比实例C外观分">测算表!$M$76</definedName>
    <definedName name="可比实例C物业管理">测算表!$F$80</definedName>
    <definedName name="可比实例C物业管理分">测算表!$M$80</definedName>
    <definedName name="可比实例C新旧程度">测算表!$F$82</definedName>
    <definedName name="可比实例C新旧程度分">测算表!$M$82</definedName>
    <definedName name="可比实例C有无抵押他项权">测算表!$F$87</definedName>
    <definedName name="可比实例C有无抵押他项权分">测算表!$M$87</definedName>
    <definedName name="可比实例C有无租约限制">测算表!$F$86</definedName>
    <definedName name="可比实例C有无租约限制分">测算表!$M$86</definedName>
    <definedName name="可比实例C装饰装修">测算表!$F$77</definedName>
    <definedName name="可比实例C装饰装修分">测算表!$M$77</definedName>
    <definedName name="可比实例C自然环境">测算表!$F$61</definedName>
    <definedName name="可比实例C自然环境分">测算表!$M$61</definedName>
    <definedName name="可比实例C总价">测算表!$F$57</definedName>
    <definedName name="可比实例C坐落">测算表!$F$54</definedName>
    <definedName name="客厅朝向">测算表!$C$32</definedName>
    <definedName name="空间布局">测算表!$C$41</definedName>
    <definedName name="空间布局修正系数">测算表!#REF!</definedName>
    <definedName name="空置率">测算表!$E$146</definedName>
    <definedName name="临街状况">测算表!$E$32</definedName>
    <definedName name="楼层">估价结果明细表!#REF!</definedName>
    <definedName name="楼层修正系数">测算表!$N$70</definedName>
    <definedName name="面积修正系数">测算表!$N$81</definedName>
    <definedName name="年纯收入">测算表!$F$155</definedName>
    <definedName name="年费用合计">测算表!$D$155</definedName>
    <definedName name="年费用合计1">测算表!$F$151</definedName>
    <definedName name="年租金收入">测算表!$G$146</definedName>
    <definedName name="年租金收入1">测算表!$B$155</definedName>
    <definedName name="评估单价">估价结果明细表!#REF!</definedName>
    <definedName name="评估范围是否含家具">测算表!$B$27</definedName>
    <definedName name="评估家具详情清单">家具评估结果明细表!$A$1</definedName>
    <definedName name="评估总价">估价结果明细表!#REF!</definedName>
    <definedName name="其他费用变现分析">测算表!$E$172</definedName>
    <definedName name="其他费用取费依据">测算表!$C$172</definedName>
    <definedName name="其他收入">测算表!$H$146</definedName>
    <definedName name="区位状况朝向">测算表!$B$72</definedName>
    <definedName name="区位状况道路状况">测算表!$B$65</definedName>
    <definedName name="区位状况公共设施完备度">测算表!$B$67</definedName>
    <definedName name="区位状况规划上限制">测算表!$B$69</definedName>
    <definedName name="区位状况基础设施完备度">测算表!$B$66</definedName>
    <definedName name="区位状况交通状况">测算表!$B$68</definedName>
    <definedName name="区位状况景观">测算表!$B$63</definedName>
    <definedName name="区位状况居住适宜度">测算表!$B$71</definedName>
    <definedName name="区位状况距区域商业中心的距离">测算表!$B$64</definedName>
    <definedName name="区位状况楼层">测算表!$B$70</definedName>
    <definedName name="区位状况社会人文环境">测算表!$B$62</definedName>
    <definedName name="区位状况自然环境">测算表!$B$61</definedName>
    <definedName name="权利人">测算表!$B$21</definedName>
    <definedName name="权属证书">估价结果明细表!#REF!</definedName>
    <definedName name="权属证书编号">测算表!$B$19</definedName>
    <definedName name="权益状况土地使用权类型">测算表!$B$84</definedName>
    <definedName name="权益状况土地使用权剩余使用年期">测算表!$B$85</definedName>
    <definedName name="权益状况有无抵押他项权">测算表!$B$87</definedName>
    <definedName name="权益状况有无租约限制">测算表!$B$86</definedName>
    <definedName name="权证类型">测算表!$A$19</definedName>
    <definedName name="设施设备">测算表!$C$39</definedName>
    <definedName name="社会人文环境修正系数">测算表!$N$62</definedName>
    <definedName name="剩余使用年限">估价结果明细表!#REF!</definedName>
    <definedName name="实物状况层高">测算表!$B$75</definedName>
    <definedName name="实物状况结构">测算表!$B$74</definedName>
    <definedName name="实物状况空间布局">测算表!$B$79</definedName>
    <definedName name="实物状况面积">测算表!$B$81</definedName>
    <definedName name="实物状况通风采光">测算表!$B$78</definedName>
    <definedName name="实物状况外观">测算表!$B$76</definedName>
    <definedName name="实物状况物业管理">测算表!$B$80</definedName>
    <definedName name="实物状况新旧程度">测算表!$B$82</definedName>
    <definedName name="实物状况装饰装修">测算表!$B$77</definedName>
    <definedName name="市场法估价测算过程">测算表!$A$51</definedName>
    <definedName name="收益法">测算表!$A$4</definedName>
    <definedName name="收益法估价测算过程">测算表!$A$140</definedName>
    <definedName name="收益法评估单价">测算表!$B$4</definedName>
    <definedName name="收益法评估总价">测算表!$C$4</definedName>
    <definedName name="收益法权重">测算表!$D$4</definedName>
    <definedName name="收益法月租金">测算表!$C$146</definedName>
    <definedName name="收益价格">测算表!$G$161</definedName>
    <definedName name="收益年限">测算表!$E$161</definedName>
    <definedName name="收益系数">测算表!$F$161</definedName>
    <definedName name="税费率合计">测算表!$H$155</definedName>
    <definedName name="税金">测算表!$B$151</definedName>
    <definedName name="四至">测算表!$C$45</definedName>
    <definedName name="所得税变现分析">测算表!$E$171</definedName>
    <definedName name="所得税取费依据">测算表!$C$171</definedName>
    <definedName name="所在楼层">测算表!$D$26</definedName>
    <definedName name="他项权利">测算表!$C$30</definedName>
    <definedName name="套内面积">测算表!$D$23</definedName>
    <definedName name="停车状况">测算表!$C$34</definedName>
    <definedName name="通风采光修正系数">测算表!$N$78</definedName>
    <definedName name="土地使用权类型">测算表!$B$25</definedName>
    <definedName name="土地使用权类型修正系数">测算表!$N$84</definedName>
    <definedName name="土地使用权面积">估价结果明细表!#REF!</definedName>
    <definedName name="土地使用权剩余使用年期修正系数">测算表!$N$85</definedName>
    <definedName name="土地使用权终止日期">测算表!$B$26</definedName>
    <definedName name="土地形状">测算表!$E$45</definedName>
    <definedName name="土地用途">测算表!$B$22</definedName>
    <definedName name="土地增值税变现分析">测算表!$E$170</definedName>
    <definedName name="土地增值税取费依据">测算表!$C$170</definedName>
    <definedName name="土壤">测算表!$C$46</definedName>
    <definedName name="外观修正系数">测算表!$N$76</definedName>
    <definedName name="外墙">测算表!$F$26</definedName>
    <definedName name="维护及完损状况">测算表!$C$43</definedName>
    <definedName name="维修保养费">测算表!$D$151</definedName>
    <definedName name="维修保养费率">测算表!$H$151</definedName>
    <definedName name="委托编号">测算表!$D$10</definedName>
    <definedName name="委托方">#REF!</definedName>
    <definedName name="委托方联系电话">测算表!$F$9</definedName>
    <definedName name="委托日期">测算表!$F$10</definedName>
    <definedName name="委托日期大写">测算表!$F$11</definedName>
    <definedName name="委托书">测算表!$B$10</definedName>
    <definedName name="物业管理">测算表!$C$44</definedName>
    <definedName name="物业管理修正系数">测算表!$N$80</definedName>
    <definedName name="相邻房地产">测算表!#REF!</definedName>
    <definedName name="小区名称">测算表!$F$21</definedName>
    <definedName name="新旧程度修正系数">测算表!$N$82</definedName>
    <definedName name="因素比较修正取值说明层高">测算表!$O$75</definedName>
    <definedName name="因素比较修正取值说明朝向">测算表!$O$72</definedName>
    <definedName name="因素比较修正取值说明单价">测算表!$G$58</definedName>
    <definedName name="因素比较修正取值说明道路状况">测算表!$O$65</definedName>
    <definedName name="因素比较修正取值说明公共设施完备度">测算表!$O$67</definedName>
    <definedName name="因素比较修正取值说明规划上限制">测算表!$O$69</definedName>
    <definedName name="因素比较修正取值说明基础设施完备度">测算表!$O$66</definedName>
    <definedName name="因素比较修正取值说明建筑总楼层">测算表!$G$56</definedName>
    <definedName name="因素比较修正取值说明交通状况">测算表!$O$68</definedName>
    <definedName name="因素比较修正取值说明交易情况">测算表!$O$60</definedName>
    <definedName name="因素比较修正取值说明结构">测算表!$O$74</definedName>
    <definedName name="因素比较修正取值说明景观">测算表!$O$63</definedName>
    <definedName name="因素比较修正取值说明距区域商业中心的距离">测算表!$O$64</definedName>
    <definedName name="因素比较修正取值说明空间布局">测算表!$O$79</definedName>
    <definedName name="因素比较修正取值说明楼层">测算表!$O$70</definedName>
    <definedName name="因素比较修正取值说明面积">测算表!$O$81</definedName>
    <definedName name="因素比较修正取值说明社会人文环境">测算表!$O$62</definedName>
    <definedName name="因素比较修正取值说明市场状况调整">测算表!$O$59</definedName>
    <definedName name="因素比较修正取值说明通风采光">测算表!$O$78</definedName>
    <definedName name="因素比较修正取值说明土地使用权类型">测算表!$O$84</definedName>
    <definedName name="因素比较修正取值说明土地使用权剩余使用年期">测算表!$O$85</definedName>
    <definedName name="因素比较修正取值说明外观">测算表!$O$76</definedName>
    <definedName name="因素比较修正取值说明物业管理">测算表!$O$80</definedName>
    <definedName name="因素比较修正取值说明物业名称">测算表!$G$55</definedName>
    <definedName name="因素比较修正取值说明新旧程度">测算表!$O$82</definedName>
    <definedName name="因素比较修正取值说明有无抵押他项权">测算表!$O$87</definedName>
    <definedName name="因素比较修正取值说明有无租约限制">测算表!$O$86</definedName>
    <definedName name="因素比较修正取值说明装饰装修">测算表!$O$77</definedName>
    <definedName name="因素比较修正取值说明自然环境">测算表!$O$61</definedName>
    <definedName name="因素比较修正取值说明总价">测算表!$G$57</definedName>
    <definedName name="因素比较修正取值说明坐落">测算表!$G$54</definedName>
    <definedName name="有无抵押他项权修正系数">测算表!$N$87</definedName>
    <definedName name="有无租约限制修正系数">测算表!$N$86</definedName>
    <definedName name="预评估编号">测算表!#REF!</definedName>
    <definedName name="预评估出具日期">测算表!#REF!</definedName>
    <definedName name="增值税变现价格分析">测算表!$E$166</definedName>
    <definedName name="增值税取费依据">测算表!$C$166</definedName>
    <definedName name="照片文档路径">测算表!$B$11</definedName>
    <definedName name="装饰装修">测算表!$C$40</definedName>
    <definedName name="装饰装修修正系数">测算表!$N$77</definedName>
    <definedName name="资本化率">测算表!$D$161</definedName>
    <definedName name="自然环境修正系数">测算表!$N$61</definedName>
    <definedName name="综合评估单价">测算表!$E$3</definedName>
    <definedName name="综合评估总价">测算表!$F$3</definedName>
    <definedName name="综合评估总价大写">测算表!$B$7</definedName>
    <definedName name="租金增长率">测算表!$B$161</definedName>
    <definedName name="租金增长年数">测算表!$C$161</definedName>
    <definedName name="坐落">测算表!$B$20</definedName>
  </definedNames>
  <calcPr calcId="191029"/>
  <customWorkbookViews>
    <customWorkbookView name="李中敬 - 个人视图" guid="{AE981602-F4CF-4366-B91E-697FDAE77D82}" mergeInterval="0" personalView="1" maximized="1" windowWidth="2556" windowHeight="1196" tabRatio="831"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3" i="4" l="1"/>
  <c r="J122" i="4"/>
  <c r="M116" i="4"/>
  <c r="L116" i="4"/>
  <c r="K116" i="4"/>
  <c r="M106" i="4"/>
  <c r="L106" i="4"/>
  <c r="K106" i="4"/>
  <c r="M94" i="4"/>
  <c r="M120" i="4" s="1"/>
  <c r="L94" i="4"/>
  <c r="L120" i="4" s="1"/>
  <c r="K94" i="4"/>
  <c r="K120" i="4" s="1"/>
  <c r="J121" i="4" s="1"/>
  <c r="J124" i="4" s="1"/>
  <c r="J125" i="4" s="1"/>
  <c r="J94" i="4"/>
  <c r="M93" i="4"/>
  <c r="L93" i="4"/>
  <c r="K93" i="4"/>
  <c r="J93" i="4"/>
  <c r="C117" i="4"/>
  <c r="F114" i="4"/>
  <c r="E114" i="4"/>
  <c r="D114" i="4"/>
  <c r="C114" i="4"/>
  <c r="F95" i="4"/>
  <c r="E95" i="4"/>
  <c r="D95" i="4"/>
  <c r="H59" i="4"/>
  <c r="H60" i="4"/>
  <c r="H54" i="4"/>
  <c r="K54" i="4"/>
  <c r="L54" i="4"/>
  <c r="M54" i="4"/>
  <c r="H55" i="4"/>
  <c r="H56" i="4"/>
  <c r="H57" i="4"/>
  <c r="J57" i="4"/>
  <c r="K57" i="4"/>
  <c r="L57" i="4"/>
  <c r="M57" i="4"/>
  <c r="H58" i="4"/>
  <c r="J58" i="4"/>
  <c r="C84" i="4"/>
  <c r="L84" i="4"/>
  <c r="K88" i="4"/>
  <c r="L88" i="4"/>
  <c r="B17" i="4" l="1"/>
  <c r="C40" i="4"/>
  <c r="J8" i="12"/>
  <c r="J9" i="12"/>
  <c r="J10" i="12"/>
  <c r="J11" i="12"/>
  <c r="J12" i="12"/>
  <c r="E12" i="12" s="1"/>
  <c r="J13" i="12"/>
  <c r="E13" i="12" s="1"/>
  <c r="J14" i="12"/>
  <c r="E14" i="12" s="1"/>
  <c r="J15" i="12"/>
  <c r="E15" i="12" s="1"/>
  <c r="J16" i="12"/>
  <c r="E16" i="12" s="1"/>
  <c r="J17" i="12"/>
  <c r="E17" i="12" s="1"/>
  <c r="J18" i="12"/>
  <c r="E18" i="12" s="1"/>
  <c r="E5" i="12"/>
  <c r="E6" i="12"/>
  <c r="E7" i="12"/>
  <c r="E8" i="12"/>
  <c r="E9" i="12"/>
  <c r="E10" i="12"/>
  <c r="E11" i="12"/>
  <c r="H17" i="12"/>
  <c r="A2" i="12"/>
  <c r="F14" i="4"/>
  <c r="C43" i="4"/>
  <c r="C38" i="4"/>
  <c r="F11" i="4"/>
  <c r="D17" i="4"/>
  <c r="E19" i="12" l="1"/>
  <c r="B11" i="4" a="1"/>
  <c r="B11" i="4" s="1"/>
  <c r="F17" i="4"/>
  <c r="A3" i="7"/>
  <c r="A2" i="7"/>
  <c r="A15" i="10"/>
  <c r="A2" i="10"/>
  <c r="C56" i="4"/>
  <c r="F55" i="4"/>
  <c r="M55" i="4" s="1"/>
  <c r="E55" i="4"/>
  <c r="L55" i="4" s="1"/>
  <c r="D55" i="4"/>
  <c r="K55" i="4" s="1"/>
  <c r="C55" i="4"/>
  <c r="J55" i="4" s="1"/>
  <c r="C30" i="4"/>
  <c r="C37" i="4"/>
  <c r="J7" i="12"/>
  <c r="J6" i="12"/>
  <c r="J5" i="12"/>
  <c r="J4" i="12"/>
  <c r="E4" i="12" s="1"/>
  <c r="F56" i="4" l="1"/>
  <c r="M56" i="4" s="1"/>
  <c r="J56" i="4"/>
  <c r="G3" i="12"/>
  <c r="C5" i="4" s="1"/>
  <c r="D56" i="4"/>
  <c r="K56" i="4" s="1"/>
  <c r="E56" i="4"/>
  <c r="L56" i="4" s="1"/>
  <c r="F23" i="4"/>
  <c r="C42" i="4"/>
  <c r="B5" i="2" a="1"/>
  <c r="B5" i="2" s="1"/>
  <c r="B6" i="2" a="1"/>
  <c r="B6" i="2" s="1"/>
  <c r="A13" i="10"/>
  <c r="F5" i="4" l="1"/>
  <c r="D7" i="4" s="1"/>
  <c r="D15" i="4"/>
  <c r="G163" i="4"/>
  <c r="C85" i="4"/>
  <c r="E161" i="4" s="1"/>
  <c r="O62" i="4"/>
  <c r="I66" i="4"/>
  <c r="I65" i="4"/>
  <c r="I64" i="4"/>
  <c r="I63" i="4"/>
  <c r="I62" i="4"/>
  <c r="I61" i="4"/>
  <c r="O75" i="4" l="1"/>
  <c r="C69" i="4"/>
  <c r="E69" i="4" l="1"/>
  <c r="F69" i="4"/>
  <c r="D69" i="4"/>
  <c r="B167" i="4"/>
  <c r="C82" i="4" l="1"/>
  <c r="F82" i="4" s="1"/>
  <c r="C76" i="4"/>
  <c r="C74" i="4"/>
  <c r="F74" i="4" s="1"/>
  <c r="D58" i="4"/>
  <c r="K58" i="4" s="1"/>
  <c r="C54" i="4"/>
  <c r="J54" i="4" s="1"/>
  <c r="D82" i="4" l="1"/>
  <c r="K82" i="4" s="1"/>
  <c r="E82" i="4"/>
  <c r="D74" i="4"/>
  <c r="E74" i="4"/>
  <c r="L74" i="4" s="1"/>
  <c r="A19" i="4"/>
  <c r="B1" i="2"/>
  <c r="C70" i="4"/>
  <c r="L70" i="4" s="1"/>
  <c r="C81" i="4"/>
  <c r="F161" i="4"/>
  <c r="E151" i="4"/>
  <c r="D151" i="4"/>
  <c r="E150" i="4"/>
  <c r="D150" i="4"/>
  <c r="C150" i="4"/>
  <c r="B150" i="4"/>
  <c r="E148" i="4"/>
  <c r="D148" i="4"/>
  <c r="H146" i="4"/>
  <c r="G146" i="4" s="1"/>
  <c r="D4" i="4"/>
  <c r="D16" i="4"/>
  <c r="I87" i="4"/>
  <c r="O87" i="4"/>
  <c r="I86" i="4"/>
  <c r="O86" i="4"/>
  <c r="I85" i="4"/>
  <c r="M84" i="4"/>
  <c r="M88" i="4" s="1"/>
  <c r="I84" i="4"/>
  <c r="H84" i="4"/>
  <c r="O84" i="4"/>
  <c r="M82" i="4"/>
  <c r="L82" i="4"/>
  <c r="I82" i="4"/>
  <c r="I81" i="4"/>
  <c r="M80" i="4"/>
  <c r="L80" i="4"/>
  <c r="K80" i="4"/>
  <c r="I80" i="4"/>
  <c r="O80" i="4"/>
  <c r="M79" i="4"/>
  <c r="L79" i="4"/>
  <c r="K79" i="4"/>
  <c r="I79" i="4"/>
  <c r="O79" i="4"/>
  <c r="M78" i="4"/>
  <c r="L78" i="4"/>
  <c r="K78" i="4"/>
  <c r="I78" i="4"/>
  <c r="O78" i="4"/>
  <c r="M77" i="4"/>
  <c r="L77" i="4"/>
  <c r="K77" i="4"/>
  <c r="I77" i="4"/>
  <c r="M76" i="4"/>
  <c r="L76" i="4"/>
  <c r="K76" i="4"/>
  <c r="O76" i="4" s="1"/>
  <c r="I76" i="4"/>
  <c r="M75" i="4"/>
  <c r="L75" i="4"/>
  <c r="K75" i="4"/>
  <c r="I75" i="4"/>
  <c r="M74" i="4"/>
  <c r="I74" i="4"/>
  <c r="H74" i="4"/>
  <c r="M72" i="4"/>
  <c r="L72" i="4"/>
  <c r="K72" i="4"/>
  <c r="I72" i="4"/>
  <c r="M71" i="4"/>
  <c r="L71" i="4"/>
  <c r="K71" i="4"/>
  <c r="I71" i="4"/>
  <c r="O71" i="4"/>
  <c r="I70" i="4"/>
  <c r="I69" i="4"/>
  <c r="M68" i="4"/>
  <c r="L68" i="4"/>
  <c r="K68" i="4"/>
  <c r="I68" i="4"/>
  <c r="O68" i="4"/>
  <c r="M67" i="4"/>
  <c r="L67" i="4"/>
  <c r="K67" i="4"/>
  <c r="I67" i="4"/>
  <c r="O67" i="4"/>
  <c r="M66" i="4"/>
  <c r="L66" i="4"/>
  <c r="K66" i="4"/>
  <c r="O66" i="4"/>
  <c r="M65" i="4"/>
  <c r="L65" i="4"/>
  <c r="K65" i="4"/>
  <c r="O65" i="4"/>
  <c r="M64" i="4"/>
  <c r="L64" i="4"/>
  <c r="K64" i="4"/>
  <c r="O64" i="4"/>
  <c r="M63" i="4"/>
  <c r="L63" i="4"/>
  <c r="K63" i="4"/>
  <c r="O63" i="4"/>
  <c r="M62" i="4"/>
  <c r="L62" i="4"/>
  <c r="K62" i="4"/>
  <c r="M61" i="4"/>
  <c r="L61" i="4"/>
  <c r="K61" i="4"/>
  <c r="O61" i="4" s="1"/>
  <c r="H61" i="4"/>
  <c r="F58" i="4"/>
  <c r="M58" i="4" s="1"/>
  <c r="E58" i="4"/>
  <c r="L58" i="4" s="1"/>
  <c r="O77" i="4" l="1"/>
  <c r="L73" i="4"/>
  <c r="O74" i="4"/>
  <c r="K74" i="4"/>
  <c r="B151" i="4"/>
  <c r="C151" i="4"/>
  <c r="B155" i="4"/>
  <c r="O82" i="4"/>
  <c r="O72" i="4"/>
  <c r="M81" i="4"/>
  <c r="M83" i="4" s="1"/>
  <c r="K81" i="4"/>
  <c r="L81" i="4"/>
  <c r="L83" i="4" s="1"/>
  <c r="L89" i="4" s="1"/>
  <c r="M70" i="4"/>
  <c r="M73" i="4" s="1"/>
  <c r="K70" i="4"/>
  <c r="K73" i="4" s="1"/>
  <c r="M89" i="4" l="1"/>
  <c r="K83" i="4"/>
  <c r="K89" i="4" s="1"/>
  <c r="O70" i="4"/>
  <c r="F151" i="4"/>
  <c r="D155" i="4" s="1"/>
  <c r="F155" i="4" s="1"/>
  <c r="G161" i="4" s="1"/>
  <c r="B4" i="4" s="1"/>
  <c r="C4" i="4" s="1"/>
  <c r="O81" i="4"/>
  <c r="E44" i="5" l="1"/>
  <c r="D44" i="5"/>
  <c r="C44" i="5"/>
  <c r="Z34" i="5"/>
  <c r="Y34" i="5"/>
  <c r="X34" i="5"/>
  <c r="V34" i="5"/>
  <c r="S34" i="5"/>
  <c r="R32" i="5"/>
  <c r="Q32" i="5"/>
  <c r="P32" i="5"/>
  <c r="Z29" i="5"/>
  <c r="Y29" i="5"/>
  <c r="X29" i="5"/>
  <c r="W29" i="5"/>
  <c r="V29" i="5"/>
  <c r="O26" i="5"/>
  <c r="V37" i="5" s="1"/>
  <c r="U21" i="5"/>
  <c r="Z19" i="5"/>
  <c r="Y19" i="5"/>
  <c r="X19" i="5"/>
  <c r="W19" i="5"/>
  <c r="E12" i="5"/>
  <c r="D12" i="5"/>
  <c r="G7" i="5"/>
  <c r="C12" i="5" s="1"/>
  <c r="Z5" i="5"/>
  <c r="Y5" i="5"/>
  <c r="X5" i="5"/>
  <c r="W5" i="5"/>
  <c r="T5" i="5"/>
  <c r="Z4" i="5"/>
  <c r="Y4" i="5"/>
  <c r="X4" i="5"/>
  <c r="T4" i="5"/>
  <c r="O4" i="5"/>
  <c r="W4" i="5" s="1"/>
  <c r="Z3" i="5"/>
  <c r="Y3" i="5"/>
  <c r="X3" i="5"/>
  <c r="W3" i="5"/>
  <c r="J90" i="4" l="1"/>
  <c r="N90" i="4"/>
  <c r="B16" i="5"/>
  <c r="Y35" i="5"/>
  <c r="X35" i="5"/>
  <c r="Z35" i="5"/>
  <c r="B12" i="5"/>
  <c r="F12" i="5" s="1"/>
  <c r="D16" i="5" s="1"/>
  <c r="F16" i="5" s="1"/>
  <c r="E22" i="5"/>
  <c r="F22" i="5" s="1"/>
  <c r="L90" i="4" l="1"/>
  <c r="Z41" i="5"/>
  <c r="B3" i="4"/>
  <c r="E3" i="4" s="1"/>
  <c r="V36" i="5"/>
  <c r="V39" i="5" s="1"/>
  <c r="G22" i="5"/>
  <c r="F3" i="4" l="1"/>
  <c r="F6" i="4" s="1"/>
  <c r="C3" i="4"/>
  <c r="F7" i="4" l="1"/>
  <c r="B7" i="4"/>
  <c r="I6" i="10"/>
  <c r="J6" i="10" s="1"/>
  <c r="I7" i="10" s="1"/>
  <c r="A3" i="10" s="1"/>
  <c r="E164" i="4"/>
  <c r="E171" i="4" s="1"/>
  <c r="E172" i="4" l="1"/>
  <c r="N6" i="10"/>
  <c r="L6" i="10"/>
  <c r="M6" i="10"/>
  <c r="K6" i="10"/>
  <c r="Q6" i="10"/>
  <c r="O6" i="10"/>
  <c r="R6" i="10"/>
  <c r="E166" i="4"/>
  <c r="E167" i="4" s="1"/>
  <c r="E170" i="4"/>
  <c r="E169" i="4" l="1"/>
  <c r="E168" i="4"/>
  <c r="E174" i="4" l="1"/>
  <c r="E17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<sst xmlns="http://schemas.openxmlformats.org/spreadsheetml/2006/main" count="1066" uniqueCount="569">
  <si>
    <t>价值时点</t>
  </si>
  <si>
    <t>名称</t>
  </si>
  <si>
    <t>坐落</t>
  </si>
  <si>
    <t>建筑面积</t>
  </si>
  <si>
    <t>权益状况</t>
  </si>
  <si>
    <t>土地使用权类型</t>
  </si>
  <si>
    <t>出让</t>
  </si>
  <si>
    <t>面积</t>
  </si>
  <si>
    <t>区位状况</t>
  </si>
  <si>
    <t>空间布局</t>
  </si>
  <si>
    <t>装饰装修</t>
  </si>
  <si>
    <t>评估单价</t>
  </si>
  <si>
    <t>评估总价（万元）</t>
  </si>
  <si>
    <t>楼层</t>
  </si>
  <si>
    <t>闫凯旋</t>
  </si>
  <si>
    <t>可比实例A</t>
  </si>
  <si>
    <t>可比实例B</t>
  </si>
  <si>
    <t>可比实例C</t>
  </si>
  <si>
    <t>住宅</t>
  </si>
  <si>
    <t>交易情况</t>
  </si>
  <si>
    <t>中装</t>
  </si>
  <si>
    <t>层高（米）</t>
  </si>
  <si>
    <t>修正描述</t>
  </si>
  <si>
    <t>比较因素   估价对象及可比实例</t>
  </si>
  <si>
    <t>估价对象</t>
  </si>
  <si>
    <t>权重</t>
  </si>
  <si>
    <t>因素比较修正取值说明</t>
  </si>
  <si>
    <t>-</t>
  </si>
  <si>
    <t>单价（元/平方米）</t>
  </si>
  <si>
    <t>待求</t>
  </si>
  <si>
    <t>市场状况调整</t>
  </si>
  <si>
    <t>正常</t>
  </si>
  <si>
    <t>区位状况调整</t>
  </si>
  <si>
    <t>自然环境</t>
  </si>
  <si>
    <t>较好</t>
  </si>
  <si>
    <t>社会人文环境</t>
  </si>
  <si>
    <t>景观</t>
  </si>
  <si>
    <t>距区域商业中心的距离</t>
  </si>
  <si>
    <t>道路状况</t>
  </si>
  <si>
    <t>基础设施完备度</t>
  </si>
  <si>
    <t>齐备</t>
  </si>
  <si>
    <t>公共设施完备度</t>
  </si>
  <si>
    <t>交通状况</t>
  </si>
  <si>
    <t>规划上限制</t>
  </si>
  <si>
    <t>朝向</t>
  </si>
  <si>
    <t>好</t>
  </si>
  <si>
    <t>区位状况调整指数</t>
  </si>
  <si>
    <t>实物状况</t>
  </si>
  <si>
    <t>结　构</t>
  </si>
  <si>
    <t>实物状况调整</t>
  </si>
  <si>
    <t>外　观</t>
  </si>
  <si>
    <t>通风采光</t>
  </si>
  <si>
    <t>通风采光较好</t>
  </si>
  <si>
    <t>合理</t>
  </si>
  <si>
    <t>物业管理</t>
  </si>
  <si>
    <t>新旧程度</t>
  </si>
  <si>
    <t>实物状况调整指数</t>
  </si>
  <si>
    <t>土地使用权剩余使用年期</t>
  </si>
  <si>
    <t>权益状况调整</t>
  </si>
  <si>
    <t>有无租约限制</t>
  </si>
  <si>
    <t>无</t>
  </si>
  <si>
    <t>有无抵押他项权</t>
  </si>
  <si>
    <t>权益状况调整指数</t>
  </si>
  <si>
    <t>—</t>
  </si>
  <si>
    <t>比较价值</t>
  </si>
  <si>
    <t>装修单价（元/平方米）</t>
  </si>
  <si>
    <t>加上装修后单价</t>
  </si>
  <si>
    <t>收益价格计算表</t>
  </si>
  <si>
    <t>一、年总收益</t>
  </si>
  <si>
    <t>——</t>
  </si>
  <si>
    <t>月租金</t>
  </si>
  <si>
    <t>空置率（租金损失）</t>
  </si>
  <si>
    <t>年租金收入(元)</t>
  </si>
  <si>
    <t>合川区南办处望鹿街383号</t>
  </si>
  <si>
    <t>代号</t>
  </si>
  <si>
    <t>S1</t>
  </si>
  <si>
    <t>S2</t>
  </si>
  <si>
    <t>S3</t>
  </si>
  <si>
    <t>S</t>
  </si>
  <si>
    <t>租赁价格（元/平方米.月）</t>
  </si>
  <si>
    <t>计算公式</t>
  </si>
  <si>
    <t>S=S1*S2*12*(1-S3)</t>
  </si>
  <si>
    <t>交易时间</t>
  </si>
  <si>
    <t>数值</t>
  </si>
  <si>
    <t>二、年总费用</t>
  </si>
  <si>
    <t>以估价对象为100，三个可比实例与估价对象相似，因此修正系数均为100</t>
  </si>
  <si>
    <t>税金</t>
  </si>
  <si>
    <t>管理费(1%-3%)</t>
  </si>
  <si>
    <t>维修、保养费(1%)</t>
  </si>
  <si>
    <t>保险费(0.2%)</t>
  </si>
  <si>
    <t>年费用合计</t>
  </si>
  <si>
    <t>F1</t>
  </si>
  <si>
    <t>F2</t>
  </si>
  <si>
    <t>F3</t>
  </si>
  <si>
    <t>F4</t>
  </si>
  <si>
    <t>F</t>
  </si>
  <si>
    <t>F1=S/(1+0.05)*0.176</t>
  </si>
  <si>
    <t>F2=S*1%</t>
  </si>
  <si>
    <t>F3=建安*1%</t>
  </si>
  <si>
    <t>F4=建安*0.2%</t>
  </si>
  <si>
    <t>F=F1+F2+F3+F4</t>
  </si>
  <si>
    <t>距合川商业中心约1公里</t>
  </si>
  <si>
    <t>以估价对象为100，三个可比实例与估价对象一致，因此修正系数均为100</t>
  </si>
  <si>
    <t>三、年纯收益</t>
  </si>
  <si>
    <t>年租金收入</t>
  </si>
  <si>
    <t>年纯收入</t>
  </si>
  <si>
    <t>A</t>
  </si>
  <si>
    <t>C=S-F</t>
  </si>
  <si>
    <t>3</t>
  </si>
  <si>
    <t>7</t>
  </si>
  <si>
    <t>5</t>
  </si>
  <si>
    <t>10</t>
  </si>
  <si>
    <t>四、求取收益价格</t>
  </si>
  <si>
    <t>朝西</t>
  </si>
  <si>
    <t>以估价对象为100，三个可比实例与估价对象相朝向相同，因此修正系数均为100</t>
  </si>
  <si>
    <t>租金增长率(3%-10%)</t>
  </si>
  <si>
    <t>租金增长年数(5-10)</t>
  </si>
  <si>
    <t>资本化率</t>
  </si>
  <si>
    <t>收益年限</t>
  </si>
  <si>
    <t>收益系数</t>
  </si>
  <si>
    <t>收益价格（元/㎡）</t>
  </si>
  <si>
    <t>钢混</t>
  </si>
  <si>
    <t>g</t>
  </si>
  <si>
    <t>m</t>
  </si>
  <si>
    <t>r</t>
  </si>
  <si>
    <t>n</t>
  </si>
  <si>
    <t>X</t>
  </si>
  <si>
    <t>V</t>
  </si>
  <si>
    <t>r=1.5%（安全利率）+4%（风险调整值）</t>
  </si>
  <si>
    <t>土地可用法定最高年限</t>
  </si>
  <si>
    <t>p=A*X</t>
  </si>
  <si>
    <t>涂料</t>
  </si>
  <si>
    <t>以估价对象为100，三个可比实例与估价对象装修相似，因此修正系数均为100</t>
  </si>
  <si>
    <t>2016年</t>
  </si>
  <si>
    <t>已使用3年，尚可使用57年</t>
  </si>
  <si>
    <t>以估价对象为100，三个可比实例与估价对象通风采光相似，因此修正系数均为100</t>
  </si>
  <si>
    <r>
      <rPr>
        <sz val="10"/>
        <rFont val="宋体"/>
        <family val="3"/>
        <charset val="134"/>
      </rPr>
      <t>面积（M</t>
    </r>
    <r>
      <rPr>
        <vertAlign val="superscript"/>
        <sz val="10"/>
        <rFont val="宋体"/>
        <family val="3"/>
        <charset val="134"/>
      </rPr>
      <t>2</t>
    </r>
    <r>
      <rPr>
        <sz val="10"/>
        <rFont val="宋体"/>
        <family val="3"/>
        <charset val="134"/>
      </rPr>
      <t>）</t>
    </r>
  </si>
  <si>
    <t>新旧程度（年）</t>
  </si>
  <si>
    <t>2008</t>
  </si>
  <si>
    <t>划拨</t>
  </si>
  <si>
    <t>土地使用权剩余使用年期（年）</t>
  </si>
  <si>
    <t>与估价对像相似</t>
  </si>
  <si>
    <t>有租约,租期较短</t>
  </si>
  <si>
    <t>有租约,租金客观</t>
  </si>
  <si>
    <t>设定为无</t>
  </si>
  <si>
    <t>比较项目</t>
  </si>
  <si>
    <t>可比实例一</t>
  </si>
  <si>
    <t>可比实例二</t>
  </si>
  <si>
    <t>可比实例三</t>
  </si>
  <si>
    <t>房地产坐落</t>
  </si>
  <si>
    <t>以估价对象为100，三个可比实例与估价对象一致，因此修正系数为100</t>
  </si>
  <si>
    <t>地段</t>
  </si>
  <si>
    <t>建造年份（年）</t>
  </si>
  <si>
    <t>土地性质</t>
  </si>
  <si>
    <t>装修档次</t>
  </si>
  <si>
    <t>精装</t>
  </si>
  <si>
    <t>所在层</t>
  </si>
  <si>
    <t>6</t>
  </si>
  <si>
    <r>
      <rPr>
        <sz val="9"/>
        <rFont val="宋体"/>
        <family val="3"/>
        <charset val="134"/>
      </rPr>
      <t>租赁面积（M</t>
    </r>
    <r>
      <rPr>
        <vertAlign val="superscript"/>
        <sz val="9"/>
        <rFont val="宋体"/>
        <family val="3"/>
        <charset val="134"/>
      </rPr>
      <t>2</t>
    </r>
    <r>
      <rPr>
        <sz val="9"/>
        <rFont val="宋体"/>
        <family val="3"/>
        <charset val="134"/>
      </rPr>
      <t>）</t>
    </r>
  </si>
  <si>
    <t>租赁期限（年）</t>
  </si>
  <si>
    <t>交易日期</t>
  </si>
  <si>
    <t>2019.4</t>
  </si>
  <si>
    <t>2019.7</t>
  </si>
  <si>
    <t>租赁价格（元/月）</t>
  </si>
  <si>
    <t>租赁单价（元/平方米.月）</t>
  </si>
  <si>
    <t>租金增长率</t>
  </si>
  <si>
    <t>S4</t>
  </si>
  <si>
    <t>S=（S1*S2*(1-S3)+S4）*12</t>
  </si>
  <si>
    <t>参数选取</t>
  </si>
  <si>
    <t>A=S-F</t>
  </si>
  <si>
    <t>税（费)种</t>
  </si>
  <si>
    <t>转让额×5%/(1+5%)</t>
  </si>
  <si>
    <t>《财政部、国家税务总局关于全面淮开营业税改征增值税试点的通知》(财税[2016]36号)</t>
  </si>
  <si>
    <t>增值税×3﹪</t>
  </si>
  <si>
    <t>增值税×2﹪</t>
  </si>
  <si>
    <t>转让额×2.4﹪</t>
  </si>
  <si>
    <t>重庆市经师服务指导性收费标准等</t>
  </si>
  <si>
    <t>法定优行受偿权利价值</t>
  </si>
  <si>
    <t>备注：以上费用均为估算，应以实际发生时的金额为准</t>
  </si>
  <si>
    <t>重庆市地方税务局公告 2014 年第3号</t>
  </si>
  <si>
    <t>1%</t>
    <phoneticPr fontId="17" type="noConversion"/>
  </si>
  <si>
    <t>0.2%</t>
    <phoneticPr fontId="17" type="noConversion"/>
  </si>
  <si>
    <t>S4=月租金*一年期存款利率</t>
    <phoneticPr fontId="17" type="noConversion"/>
  </si>
  <si>
    <t>估价对象</t>
    <phoneticPr fontId="17" type="noConversion"/>
  </si>
  <si>
    <t>权利人</t>
    <phoneticPr fontId="17" type="noConversion"/>
  </si>
  <si>
    <t>套内面积(㎡)</t>
    <phoneticPr fontId="17" type="noConversion"/>
  </si>
  <si>
    <r>
      <t>建筑面积(㎡</t>
    </r>
    <r>
      <rPr>
        <b/>
        <sz val="11"/>
        <color indexed="8"/>
        <rFont val="楷体"/>
        <family val="3"/>
        <charset val="134"/>
      </rPr>
      <t>)</t>
    </r>
    <phoneticPr fontId="17" type="noConversion"/>
  </si>
  <si>
    <t>评估单价（元/㎡）</t>
    <phoneticPr fontId="17" type="noConversion"/>
  </si>
  <si>
    <t>剩余使用年限（年）</t>
    <phoneticPr fontId="17" type="noConversion"/>
  </si>
  <si>
    <t>土地使用权面积(㎡)</t>
    <phoneticPr fontId="17" type="noConversion"/>
  </si>
  <si>
    <t>共有宗地面积(㎡)</t>
    <phoneticPr fontId="17" type="noConversion"/>
  </si>
  <si>
    <t>环境优美</t>
  </si>
  <si>
    <t>好</t>
    <phoneticPr fontId="17" type="noConversion"/>
  </si>
  <si>
    <t>大于4000m</t>
  </si>
  <si>
    <t>配套完善</t>
  </si>
  <si>
    <t>配套完善</t>
    <phoneticPr fontId="17" type="noConversion"/>
  </si>
  <si>
    <t>南</t>
  </si>
  <si>
    <t>西南</t>
  </si>
  <si>
    <t>约3米</t>
  </si>
  <si>
    <t>约3米</t>
    <phoneticPr fontId="17" type="noConversion"/>
  </si>
  <si>
    <t>中档装修</t>
  </si>
  <si>
    <t>出让</t>
    <phoneticPr fontId="17" type="noConversion"/>
  </si>
  <si>
    <t>可比实例A与与估价对象相比类似,可比实例B与估价对象相比类似,可比实力C与估价对象相比类似,故修正系数均为100。</t>
    <phoneticPr fontId="17" type="noConversion"/>
  </si>
  <si>
    <t>估价对象与可比实例所处区域接近或一致，规划条件均相似。故修正指数均为100。</t>
    <phoneticPr fontId="17" type="noConversion"/>
  </si>
  <si>
    <t>可比实例与估价对象的土地剩余使用年限相同，该差别对房地产的价格几乎没有影响故无需修正，则估价对象和可比实例A、B、C土地使用权剩余使用年期修正系数均为100。</t>
    <phoneticPr fontId="17" type="noConversion"/>
  </si>
  <si>
    <t>比较因素条件说明表</t>
    <phoneticPr fontId="17" type="noConversion"/>
  </si>
  <si>
    <t>因素比较表</t>
    <phoneticPr fontId="17" type="noConversion"/>
  </si>
  <si>
    <t>估价对象及可比实例</t>
    <phoneticPr fontId="17" type="noConversion"/>
  </si>
  <si>
    <t>可比实例B</t>
    <phoneticPr fontId="17" type="noConversion"/>
  </si>
  <si>
    <t>可比实例C</t>
    <phoneticPr fontId="17" type="noConversion"/>
  </si>
  <si>
    <t>因素比较修正取值说明</t>
    <phoneticPr fontId="17" type="noConversion"/>
  </si>
  <si>
    <t>坐落</t>
    <phoneticPr fontId="17" type="noConversion"/>
  </si>
  <si>
    <t>-</t>
    <phoneticPr fontId="17" type="noConversion"/>
  </si>
  <si>
    <t>物业名称</t>
    <phoneticPr fontId="17" type="noConversion"/>
  </si>
  <si>
    <t>建筑总楼层</t>
    <phoneticPr fontId="17" type="noConversion"/>
  </si>
  <si>
    <t>总价（万元）</t>
    <phoneticPr fontId="17" type="noConversion"/>
  </si>
  <si>
    <t>待定</t>
    <phoneticPr fontId="17" type="noConversion"/>
  </si>
  <si>
    <t>正常</t>
    <phoneticPr fontId="17" type="noConversion"/>
  </si>
  <si>
    <t>景观</t>
    <phoneticPr fontId="17" type="noConversion"/>
  </si>
  <si>
    <t>朝向</t>
    <phoneticPr fontId="17" type="noConversion"/>
  </si>
  <si>
    <t>区位状况调整指数</t>
    <phoneticPr fontId="17" type="noConversion"/>
  </si>
  <si>
    <t>结构</t>
    <phoneticPr fontId="17" type="noConversion"/>
  </si>
  <si>
    <t>层高</t>
    <phoneticPr fontId="17" type="noConversion"/>
  </si>
  <si>
    <t>外观</t>
    <phoneticPr fontId="17" type="noConversion"/>
  </si>
  <si>
    <t>实物状况调整指数</t>
    <phoneticPr fontId="17" type="noConversion"/>
  </si>
  <si>
    <t xml:space="preserve">与估价对象相似 </t>
    <phoneticPr fontId="17" type="noConversion"/>
  </si>
  <si>
    <t>权益状况调整指数</t>
    <phoneticPr fontId="17" type="noConversion"/>
  </si>
  <si>
    <t>评估单价(元/㎡）</t>
    <phoneticPr fontId="17" type="noConversion"/>
  </si>
  <si>
    <t>评估总价(万元）</t>
    <phoneticPr fontId="17" type="noConversion"/>
  </si>
  <si>
    <t>分析</t>
    <phoneticPr fontId="17" type="noConversion"/>
  </si>
  <si>
    <t>评估方法</t>
    <phoneticPr fontId="17" type="noConversion"/>
  </si>
  <si>
    <t>比较法</t>
    <phoneticPr fontId="17" type="noConversion"/>
  </si>
  <si>
    <t>收益法</t>
    <phoneticPr fontId="17" type="noConversion"/>
  </si>
  <si>
    <t>评估总价（万元）</t>
    <phoneticPr fontId="17" type="noConversion"/>
  </si>
  <si>
    <t>权重</t>
    <phoneticPr fontId="17" type="noConversion"/>
  </si>
  <si>
    <t>土地使用权类型</t>
    <phoneticPr fontId="17" type="noConversion"/>
  </si>
  <si>
    <t>土地使用权终止日期</t>
    <phoneticPr fontId="17" type="noConversion"/>
  </si>
  <si>
    <t>建筑结构</t>
    <phoneticPr fontId="17" type="noConversion"/>
  </si>
  <si>
    <t>房屋用途</t>
    <phoneticPr fontId="17" type="noConversion"/>
  </si>
  <si>
    <t>楼层</t>
    <phoneticPr fontId="17" type="noConversion"/>
  </si>
  <si>
    <t>价值时点</t>
    <phoneticPr fontId="17" type="noConversion"/>
  </si>
  <si>
    <t>价值时点</t>
    <phoneticPr fontId="17" type="noConversion"/>
  </si>
  <si>
    <t>估价报告编号</t>
    <phoneticPr fontId="17" type="noConversion"/>
  </si>
  <si>
    <t>估价师1</t>
    <phoneticPr fontId="17" type="noConversion"/>
  </si>
  <si>
    <t>估价师2</t>
    <phoneticPr fontId="17" type="noConversion"/>
  </si>
  <si>
    <t>注册号</t>
    <phoneticPr fontId="17" type="noConversion"/>
  </si>
  <si>
    <t>联系人</t>
    <phoneticPr fontId="17" type="noConversion"/>
  </si>
  <si>
    <t>坐落</t>
    <phoneticPr fontId="17" type="noConversion"/>
  </si>
  <si>
    <t>权利人</t>
    <phoneticPr fontId="17" type="noConversion"/>
  </si>
  <si>
    <t>套内面积</t>
    <phoneticPr fontId="17" type="noConversion"/>
  </si>
  <si>
    <t>共有情况</t>
    <phoneticPr fontId="17" type="noConversion"/>
  </si>
  <si>
    <t>所在楼层</t>
    <phoneticPr fontId="17" type="noConversion"/>
  </si>
  <si>
    <t>小区名称</t>
    <phoneticPr fontId="17" type="noConversion"/>
  </si>
  <si>
    <t>建筑物总楼层</t>
    <phoneticPr fontId="17" type="noConversion"/>
  </si>
  <si>
    <t>土地形状</t>
    <phoneticPr fontId="17" type="noConversion"/>
  </si>
  <si>
    <t>开发程度</t>
    <phoneticPr fontId="17" type="noConversion"/>
  </si>
  <si>
    <t>空间布局</t>
    <phoneticPr fontId="17" type="noConversion"/>
  </si>
  <si>
    <t>设施设备</t>
    <phoneticPr fontId="17" type="noConversion"/>
  </si>
  <si>
    <t>出租或占用状况</t>
    <phoneticPr fontId="17" type="noConversion"/>
  </si>
  <si>
    <t>他项权利</t>
    <phoneticPr fontId="17" type="noConversion"/>
  </si>
  <si>
    <t>1、权益状况：</t>
    <phoneticPr fontId="17" type="noConversion"/>
  </si>
  <si>
    <t>2、区位状况：</t>
    <phoneticPr fontId="17" type="noConversion"/>
  </si>
  <si>
    <t>建筑规模</t>
    <phoneticPr fontId="17" type="noConversion"/>
  </si>
  <si>
    <t>3、建筑事物状况：</t>
    <phoneticPr fontId="17" type="noConversion"/>
  </si>
  <si>
    <t>4、土地实物状况：</t>
    <phoneticPr fontId="17" type="noConversion"/>
  </si>
  <si>
    <t>外墙</t>
    <phoneticPr fontId="17" type="noConversion"/>
  </si>
  <si>
    <t>四至</t>
    <phoneticPr fontId="17" type="noConversion"/>
  </si>
  <si>
    <t>地质</t>
    <phoneticPr fontId="17" type="noConversion"/>
  </si>
  <si>
    <t>联系电话</t>
    <phoneticPr fontId="17" type="noConversion"/>
  </si>
  <si>
    <t>建筑物剩余使用年限</t>
    <phoneticPr fontId="17" type="noConversion"/>
  </si>
  <si>
    <t>★市场法估价测算过程</t>
    <phoneticPr fontId="17" type="noConversion"/>
  </si>
  <si>
    <t>★收益法估价测算过程</t>
    <phoneticPr fontId="17" type="noConversion"/>
  </si>
  <si>
    <t xml:space="preserve">公司:差额的25%:个人住1%，非住宅3% </t>
    <phoneticPr fontId="17" type="noConversion"/>
  </si>
  <si>
    <t>《中华人民共和国个人所得税法》 .按转让额的3%估算</t>
    <phoneticPr fontId="17" type="noConversion"/>
  </si>
  <si>
    <t>五、变现能力及风险分析</t>
    <phoneticPr fontId="17" type="noConversion"/>
  </si>
  <si>
    <t>《财政部、国家税务总局关于全面淮开营业税改征增值税试点的通知》(财税[2016]36号)</t>
    <phoneticPr fontId="17" type="noConversion"/>
  </si>
  <si>
    <t>估价委托人</t>
    <phoneticPr fontId="17" type="noConversion"/>
  </si>
  <si>
    <t>土地用途</t>
    <phoneticPr fontId="17" type="noConversion"/>
  </si>
  <si>
    <t>分摊土地使用权面积</t>
    <phoneticPr fontId="17" type="noConversion"/>
  </si>
  <si>
    <t>共有宗地面积</t>
    <phoneticPr fontId="17" type="noConversion"/>
  </si>
  <si>
    <t>土地使用权类型</t>
    <phoneticPr fontId="17" type="noConversion"/>
  </si>
  <si>
    <t>建筑面积</t>
    <phoneticPr fontId="17" type="noConversion"/>
  </si>
  <si>
    <t>建筑结构</t>
    <phoneticPr fontId="17" type="noConversion"/>
  </si>
  <si>
    <t>建成时间</t>
    <phoneticPr fontId="17" type="noConversion"/>
  </si>
  <si>
    <t>公共及基础设施状况</t>
    <phoneticPr fontId="17" type="noConversion"/>
  </si>
  <si>
    <t>装饰装修</t>
    <phoneticPr fontId="17" type="noConversion"/>
  </si>
  <si>
    <t>维护及完损状况</t>
    <phoneticPr fontId="17" type="noConversion"/>
  </si>
  <si>
    <t>成套住宅</t>
  </si>
  <si>
    <t>税（费）计算方法</t>
    <phoneticPr fontId="17" type="noConversion"/>
  </si>
  <si>
    <t>取费依据</t>
    <phoneticPr fontId="17" type="noConversion"/>
  </si>
  <si>
    <t>单位转让普通住宅核定征收率为 5%，非普通住宅及车库为 6%，除车库外的其他非住宅核定征收率为 8%;个人转让住宅免征士地增值税，个人转让非住宅类房地产核定征收率为 6%</t>
    <phoneticPr fontId="17" type="noConversion"/>
  </si>
  <si>
    <t>增值税</t>
    <phoneticPr fontId="17" type="noConversion"/>
  </si>
  <si>
    <t>土地增值税</t>
    <phoneticPr fontId="17" type="noConversion"/>
  </si>
  <si>
    <t>所得税</t>
    <phoneticPr fontId="17" type="noConversion"/>
  </si>
  <si>
    <t>其他费用（印花税、转让手续费、律师、诉讼费等）</t>
    <phoneticPr fontId="17" type="noConversion"/>
  </si>
  <si>
    <t>《财政部、国家税务总局关于全面淮开营业税改征增值税试点的通知》(财税[2016]36号)</t>
    <phoneticPr fontId="17" type="noConversion"/>
  </si>
  <si>
    <t>城建税</t>
    <phoneticPr fontId="17" type="noConversion"/>
  </si>
  <si>
    <t>教育税附加</t>
    <phoneticPr fontId="17" type="noConversion"/>
  </si>
  <si>
    <t>地方税附加</t>
    <phoneticPr fontId="17" type="noConversion"/>
  </si>
  <si>
    <t>处置时涉及到的各项税费合计</t>
    <phoneticPr fontId="17" type="noConversion"/>
  </si>
  <si>
    <t>评估净值（万元）</t>
    <phoneticPr fontId="17" type="noConversion"/>
  </si>
  <si>
    <t>评估总价
（万元）</t>
    <phoneticPr fontId="17" type="noConversion"/>
  </si>
  <si>
    <t>综合评估单价
（元/㎡）</t>
    <phoneticPr fontId="17" type="noConversion"/>
  </si>
  <si>
    <t>综合评估总价
(万元）</t>
    <phoneticPr fontId="17" type="noConversion"/>
  </si>
  <si>
    <t>评估单价
（元/㎡）</t>
    <phoneticPr fontId="17" type="noConversion"/>
  </si>
  <si>
    <t>居住适宜度</t>
  </si>
  <si>
    <t>估价对象</t>
    <phoneticPr fontId="17" type="noConversion"/>
  </si>
  <si>
    <t>可比实例A</t>
    <phoneticPr fontId="17" type="noConversion"/>
  </si>
  <si>
    <t>区位状况</t>
    <phoneticPr fontId="17" type="noConversion"/>
  </si>
  <si>
    <t>实物状况</t>
    <phoneticPr fontId="17" type="noConversion"/>
  </si>
  <si>
    <t>权益状况</t>
    <phoneticPr fontId="17" type="noConversion"/>
  </si>
  <si>
    <t>估价对象</t>
    <phoneticPr fontId="17" type="noConversion"/>
  </si>
  <si>
    <t>修正系数（%）</t>
    <phoneticPr fontId="17" type="noConversion"/>
  </si>
  <si>
    <t>空置率（租金损失）</t>
    <phoneticPr fontId="17" type="noConversion"/>
  </si>
  <si>
    <t>年租金收入(元)</t>
    <phoneticPr fontId="17" type="noConversion"/>
  </si>
  <si>
    <t>建安</t>
    <phoneticPr fontId="17" type="noConversion"/>
  </si>
  <si>
    <t>其他收入</t>
    <phoneticPr fontId="17" type="noConversion"/>
  </si>
  <si>
    <t>租金增长率(3%-10%)</t>
    <phoneticPr fontId="17" type="noConversion"/>
  </si>
  <si>
    <t>租金增长年数(5-10)</t>
    <phoneticPr fontId="17" type="noConversion"/>
  </si>
  <si>
    <t>资本化率</t>
    <phoneticPr fontId="17" type="noConversion"/>
  </si>
  <si>
    <t>收益年限</t>
    <phoneticPr fontId="17" type="noConversion"/>
  </si>
  <si>
    <t>收益系数</t>
    <phoneticPr fontId="17" type="noConversion"/>
  </si>
  <si>
    <t>收益价格（元/㎡）</t>
    <phoneticPr fontId="17" type="noConversion"/>
  </si>
  <si>
    <t>年纯收入</t>
    <phoneticPr fontId="17" type="noConversion"/>
  </si>
  <si>
    <t>年费用合计</t>
    <phoneticPr fontId="17" type="noConversion"/>
  </si>
  <si>
    <t>管理费(1%-3%)</t>
    <phoneticPr fontId="17" type="noConversion"/>
  </si>
  <si>
    <t>管理费费率</t>
    <phoneticPr fontId="17" type="noConversion"/>
  </si>
  <si>
    <t>维修、保养费率</t>
    <phoneticPr fontId="17" type="noConversion"/>
  </si>
  <si>
    <t>保险费率</t>
    <phoneticPr fontId="17" type="noConversion"/>
  </si>
  <si>
    <t>税金</t>
    <phoneticPr fontId="17" type="noConversion"/>
  </si>
  <si>
    <t>年费用合计</t>
    <phoneticPr fontId="17" type="noConversion"/>
  </si>
  <si>
    <t>年租金收入</t>
    <phoneticPr fontId="17" type="noConversion"/>
  </si>
  <si>
    <t>1.5%</t>
  </si>
  <si>
    <t>报告编号：渝瑞达 [2012]房鉴字第066号</t>
  </si>
  <si>
    <t>序号</t>
  </si>
  <si>
    <t>工作底稿名称</t>
  </si>
  <si>
    <t>页 码</t>
  </si>
  <si>
    <t>一、必备件</t>
  </si>
  <si>
    <t>估价结果报告（报告正文和报告附件）</t>
  </si>
  <si>
    <t>估价技术报告</t>
  </si>
  <si>
    <t>法院的《司法鉴定委托书》</t>
  </si>
  <si>
    <t>法院或当事人提供的权属资料（法院盖公章）、案情资料</t>
  </si>
  <si>
    <t>现场查勘记录（法院、当事人、估价师签字）、估价对象照片</t>
  </si>
  <si>
    <t>房地产、土地市调询价记录（房价，地价、租金合同）</t>
  </si>
  <si>
    <t>报告书送达签收记录</t>
  </si>
  <si>
    <t>估价机构内部三级复核表</t>
  </si>
  <si>
    <t>其他资料</t>
  </si>
  <si>
    <t>二、主要件</t>
  </si>
  <si>
    <t>评估工作计划</t>
  </si>
  <si>
    <t>评估测算底稿</t>
  </si>
  <si>
    <t>与法院、当事人之间的往来函件</t>
  </si>
  <si>
    <t>出庭作证情况记录</t>
  </si>
  <si>
    <t>产权部门查询的权属资料复印件（权属情况不清楚时）</t>
  </si>
  <si>
    <t>公安部门出具的门牌号证明（实际门牌号与证件不符时）</t>
  </si>
  <si>
    <t>房屋、土地面积测绘报告（面积与实际不符时）</t>
  </si>
  <si>
    <t>法院、当事人的异议申请</t>
  </si>
  <si>
    <t>对异议申请的复议答复函</t>
  </si>
  <si>
    <t>三、相关件</t>
  </si>
  <si>
    <t>评估工作日志</t>
  </si>
  <si>
    <t>未列入报告附件的相关权属资料</t>
  </si>
  <si>
    <t>未列入报告附件的相关文件、合同或协议</t>
  </si>
  <si>
    <t>未列入报告附件的专项说明</t>
  </si>
  <si>
    <t>未列入报告附件的对象照片</t>
  </si>
  <si>
    <t>档案整理人：</t>
  </si>
  <si>
    <t>立卷时间：</t>
  </si>
  <si>
    <t>归档审查人：</t>
  </si>
  <si>
    <t>审查时间：</t>
  </si>
  <si>
    <t>档案管理人：</t>
  </si>
  <si>
    <t>移交时间：</t>
  </si>
  <si>
    <t xml:space="preserve">承办部门：评估部                                    </t>
    <phoneticPr fontId="17" type="noConversion"/>
  </si>
  <si>
    <t xml:space="preserve"> 项目负责人：谢渝</t>
    <phoneticPr fontId="17" type="noConversion"/>
  </si>
  <si>
    <t>土地、房地产估价项目档案目录
（司法评估类）</t>
    <phoneticPr fontId="17" type="noConversion"/>
  </si>
  <si>
    <t>房地产评估项目档案目录
（一般评估项目不含征收、司法类）</t>
    <phoneticPr fontId="17" type="noConversion"/>
  </si>
  <si>
    <t xml:space="preserve">估价结果报告（报告正文和报告附件）                        </t>
  </si>
  <si>
    <t xml:space="preserve">估价技术报告                                      </t>
  </si>
  <si>
    <t xml:space="preserve">估价项目委托合同                                   </t>
  </si>
  <si>
    <t xml:space="preserve">现场查勘记录                                     </t>
  </si>
  <si>
    <t xml:space="preserve">市场信息调查记录                                 </t>
  </si>
  <si>
    <t xml:space="preserve">估价机构内部三级复核表 </t>
  </si>
  <si>
    <t xml:space="preserve">估价项目评估委托书 </t>
  </si>
  <si>
    <t xml:space="preserve">估价项目技术路线确定与价值测算表                 </t>
  </si>
  <si>
    <t>重大估价问题讨论记录表</t>
  </si>
  <si>
    <t>报告书签收记录</t>
  </si>
  <si>
    <t>估价项目中出具的正式函件（具有咨询性质）</t>
  </si>
  <si>
    <t>有关部门的备案及核准文件</t>
  </si>
  <si>
    <t xml:space="preserve">委托方及权利人提供资料清单  </t>
  </si>
  <si>
    <t>其他相关件</t>
  </si>
  <si>
    <t>未列入报告附件的委托方相关信息资料</t>
  </si>
  <si>
    <t>未列入报告附件的与估价项目相关的文件、合同或协议</t>
  </si>
  <si>
    <t>未列入报告附件的估价对象照片</t>
  </si>
  <si>
    <t>项目中的会议纪要及往来函件</t>
  </si>
  <si>
    <t>其他必备件</t>
    <phoneticPr fontId="39" type="noConversion"/>
  </si>
  <si>
    <t>自查
（Y/N）</t>
    <phoneticPr fontId="39" type="noConversion"/>
  </si>
  <si>
    <t>自查
（Y/N）</t>
    <phoneticPr fontId="17" type="noConversion"/>
  </si>
  <si>
    <t xml:space="preserve"> 一</t>
    <phoneticPr fontId="39" type="noConversion"/>
  </si>
  <si>
    <t>司法</t>
    <phoneticPr fontId="39" type="noConversion"/>
  </si>
  <si>
    <t>其他</t>
    <phoneticPr fontId="39" type="noConversion"/>
  </si>
  <si>
    <t>档案目录</t>
    <phoneticPr fontId="39" type="noConversion"/>
  </si>
  <si>
    <t>收费通知函</t>
    <phoneticPr fontId="17" type="noConversion"/>
  </si>
  <si>
    <t>档次</t>
  </si>
  <si>
    <t>100以下(含100)</t>
  </si>
  <si>
    <t>101以上至1,000</t>
  </si>
  <si>
    <t>1,001以上至2,000</t>
  </si>
  <si>
    <t>2,001以上至5,000</t>
  </si>
  <si>
    <t>5,001以上至8,000</t>
  </si>
  <si>
    <t>8,001以上至10,000</t>
  </si>
  <si>
    <t>10,000以上</t>
  </si>
  <si>
    <t>重庆瑞达资产评估房地产土地估价有限公司</t>
    <phoneticPr fontId="17" type="noConversion"/>
  </si>
  <si>
    <t>房地产价格总额
（万元）</t>
    <phoneticPr fontId="17" type="noConversion"/>
  </si>
  <si>
    <t>累进计费率（‰）</t>
    <phoneticPr fontId="17" type="noConversion"/>
  </si>
  <si>
    <t xml:space="preserve">    附我公司银行账户信息如下：
    收费公司名称：重庆瑞达资产评估房地产土地估价有限公司
    纳税人识别号（统一社会信用代码）：91500103747495363D
    收费公司开户行：中国银行重庆渝州路支行
    收费公司帐号：1088 8149 0265</t>
    <phoneticPr fontId="17" type="noConversion"/>
  </si>
  <si>
    <t>收费函</t>
    <phoneticPr fontId="39" type="noConversion"/>
  </si>
  <si>
    <t>返回</t>
    <phoneticPr fontId="39" type="noConversion"/>
  </si>
  <si>
    <t>返回</t>
    <phoneticPr fontId="17" type="noConversion"/>
  </si>
  <si>
    <t>返回</t>
    <phoneticPr fontId="17" type="noConversion"/>
  </si>
  <si>
    <t>房产评估收费计算</t>
  </si>
  <si>
    <r>
      <rPr>
        <sz val="12"/>
        <color indexed="12"/>
        <rFont val="宋体"/>
        <family val="3"/>
        <charset val="134"/>
      </rPr>
      <t>评估总价</t>
    </r>
    <r>
      <rPr>
        <sz val="12"/>
        <color indexed="12"/>
        <rFont val="Arial Black"/>
        <family val="2"/>
      </rPr>
      <t>(</t>
    </r>
    <r>
      <rPr>
        <sz val="12"/>
        <color indexed="12"/>
        <rFont val="宋体"/>
        <family val="3"/>
        <charset val="134"/>
      </rPr>
      <t>万元</t>
    </r>
    <r>
      <rPr>
        <sz val="12"/>
        <color indexed="12"/>
        <rFont val="Arial Black"/>
        <family val="2"/>
      </rPr>
      <t>)</t>
    </r>
  </si>
  <si>
    <t>九折</t>
  </si>
  <si>
    <t>八折</t>
  </si>
  <si>
    <t>七折</t>
  </si>
  <si>
    <t>六折</t>
  </si>
  <si>
    <t>五折</t>
  </si>
  <si>
    <t>四折</t>
  </si>
  <si>
    <t>三折</t>
  </si>
  <si>
    <t>行为依据</t>
    <phoneticPr fontId="17" type="noConversion"/>
  </si>
  <si>
    <t>委托编号</t>
    <phoneticPr fontId="17" type="noConversion"/>
  </si>
  <si>
    <t>测算表</t>
    <phoneticPr fontId="39" type="noConversion"/>
  </si>
  <si>
    <t>城镇住宅用地</t>
  </si>
  <si>
    <t>钢筋混凝土结构</t>
  </si>
  <si>
    <t>外墙漆</t>
  </si>
  <si>
    <t>地形、地势</t>
    <phoneticPr fontId="17" type="noConversion"/>
  </si>
  <si>
    <t>地形平坦，与相邻土地、道路齐平，自然排水良好，无发生内涝和洪水淹没的可能性</t>
    <phoneticPr fontId="17" type="noConversion"/>
  </si>
  <si>
    <t>土壤</t>
    <phoneticPr fontId="17" type="noConversion"/>
  </si>
  <si>
    <t>土壤未受过污染</t>
    <phoneticPr fontId="17" type="noConversion"/>
  </si>
  <si>
    <t>地基的承载能力和稳定性良好，地下水位正常且无污染，无滑坡、泥石流等不良地质现象</t>
    <phoneticPr fontId="17" type="noConversion"/>
  </si>
  <si>
    <t>楼层</t>
    <phoneticPr fontId="17" type="noConversion"/>
  </si>
  <si>
    <t>外观</t>
    <phoneticPr fontId="17" type="noConversion"/>
  </si>
  <si>
    <t>自用，无出租或占用情况</t>
    <phoneticPr fontId="17" type="noConversion"/>
  </si>
  <si>
    <t>评估范围</t>
    <phoneticPr fontId="17" type="noConversion"/>
  </si>
  <si>
    <t>单位</t>
  </si>
  <si>
    <t>数量</t>
  </si>
  <si>
    <t>评估价值（元）</t>
    <phoneticPr fontId="17" type="noConversion"/>
  </si>
  <si>
    <t>备注</t>
  </si>
  <si>
    <t>重置成本（元）</t>
    <phoneticPr fontId="17" type="noConversion"/>
  </si>
  <si>
    <t>评估价（元）</t>
    <phoneticPr fontId="17" type="noConversion"/>
  </si>
  <si>
    <t>冰箱</t>
    <phoneticPr fontId="17" type="noConversion"/>
  </si>
  <si>
    <t>台</t>
    <phoneticPr fontId="17" type="noConversion"/>
  </si>
  <si>
    <t>个</t>
    <phoneticPr fontId="17" type="noConversion"/>
  </si>
  <si>
    <t>茶几</t>
    <phoneticPr fontId="17" type="noConversion"/>
  </si>
  <si>
    <t>张</t>
    <phoneticPr fontId="17" type="noConversion"/>
  </si>
  <si>
    <t>沙发</t>
    <phoneticPr fontId="17" type="noConversion"/>
  </si>
  <si>
    <t>套</t>
    <phoneticPr fontId="17" type="noConversion"/>
  </si>
  <si>
    <t>床1</t>
    <phoneticPr fontId="17" type="noConversion"/>
  </si>
  <si>
    <t>床2</t>
    <phoneticPr fontId="17" type="noConversion"/>
  </si>
  <si>
    <t>衣柜2</t>
    <phoneticPr fontId="17" type="noConversion"/>
  </si>
  <si>
    <t>合计</t>
  </si>
  <si>
    <t>家具家电</t>
    <phoneticPr fontId="17" type="noConversion"/>
  </si>
  <si>
    <t>/</t>
    <phoneticPr fontId="17" type="noConversion"/>
  </si>
  <si>
    <t>合计</t>
    <phoneticPr fontId="17" type="noConversion"/>
  </si>
  <si>
    <t>出让</t>
    <phoneticPr fontId="17" type="noConversion"/>
  </si>
  <si>
    <t>物业管理</t>
    <phoneticPr fontId="17" type="noConversion"/>
  </si>
  <si>
    <t>方位</t>
    <phoneticPr fontId="17" type="noConversion"/>
  </si>
  <si>
    <t>距离</t>
    <phoneticPr fontId="17" type="noConversion"/>
  </si>
  <si>
    <t>朝向</t>
    <phoneticPr fontId="17" type="noConversion"/>
  </si>
  <si>
    <t>临街状况</t>
    <phoneticPr fontId="17" type="noConversion"/>
  </si>
  <si>
    <t>交通工具</t>
    <phoneticPr fontId="17" type="noConversion"/>
  </si>
  <si>
    <t>停车状况</t>
    <phoneticPr fontId="17" type="noConversion"/>
  </si>
  <si>
    <t>人文环境</t>
    <phoneticPr fontId="17" type="noConversion"/>
  </si>
  <si>
    <t>已设定抵押权利</t>
  </si>
  <si>
    <t>西</t>
  </si>
  <si>
    <t>申请方</t>
    <phoneticPr fontId="17" type="noConversion"/>
  </si>
  <si>
    <t>重庆银行股份有限公司江北支行</t>
    <phoneticPr fontId="17" type="noConversion"/>
  </si>
  <si>
    <t>项目名称：位于渝中区陕西路9号A幢12-7号房地产的市场价值进行了评估鉴定。</t>
    <phoneticPr fontId="39" type="noConversion"/>
  </si>
  <si>
    <t xml:space="preserve"> 项目负责人：李中敬</t>
    <phoneticPr fontId="17" type="noConversion"/>
  </si>
  <si>
    <t>接受委托</t>
    <phoneticPr fontId="17" type="noConversion"/>
  </si>
  <si>
    <t>包含土地使用权、房屋所有权、部分房屋内可移动的家具家电、室内不可移动的装饰装修以及为房屋服务且不可分割或分割后影响其使用功能的设施设备，但不包含相应的债权债务等及其他财产或者权益</t>
  </si>
  <si>
    <r>
      <rPr>
        <sz val="12"/>
        <color theme="1"/>
        <rFont val="楷体"/>
        <family val="3"/>
        <charset val="134"/>
      </rPr>
      <t>估价对象所在宗地呈</t>
    </r>
    <r>
      <rPr>
        <sz val="12"/>
        <color rgb="FFFF0000"/>
        <rFont val="楷体"/>
        <family val="3"/>
        <charset val="134"/>
      </rPr>
      <t>较规则多边形</t>
    </r>
    <phoneticPr fontId="17" type="noConversion"/>
  </si>
  <si>
    <t>不管</t>
    <phoneticPr fontId="17" type="noConversion"/>
  </si>
  <si>
    <t>必须手动输入</t>
    <phoneticPr fontId="17" type="noConversion"/>
  </si>
  <si>
    <t>下拉选择输入</t>
    <phoneticPr fontId="17" type="noConversion"/>
  </si>
  <si>
    <t>房地产金额大写</t>
    <phoneticPr fontId="17" type="noConversion"/>
  </si>
  <si>
    <t>房屋+家具大写</t>
    <phoneticPr fontId="17" type="noConversion"/>
  </si>
  <si>
    <t>照片文档位置</t>
    <phoneticPr fontId="17" type="noConversion"/>
  </si>
  <si>
    <t>家具金额大写</t>
    <phoneticPr fontId="17" type="noConversion"/>
  </si>
  <si>
    <t>评估收费</t>
    <phoneticPr fontId="39" type="noConversion"/>
  </si>
  <si>
    <r>
      <t>红线外“六通”（通上水、通下水、通电、通路、通讯、通气），红线内“六通一平”（通上水、通下水、通电、通路、</t>
    </r>
    <r>
      <rPr>
        <sz val="12"/>
        <color rgb="FFFF0000"/>
        <rFont val="楷体"/>
        <family val="3"/>
        <charset val="134"/>
      </rPr>
      <t>通气</t>
    </r>
    <r>
      <rPr>
        <sz val="12"/>
        <color theme="1" tint="0.499984740745262"/>
        <rFont val="楷体"/>
        <family val="3"/>
        <charset val="134"/>
      </rPr>
      <t>、通讯及场地平整）</t>
    </r>
    <phoneticPr fontId="17" type="noConversion"/>
  </si>
  <si>
    <t>谢  渝</t>
    <phoneticPr fontId="17" type="noConversion"/>
  </si>
  <si>
    <t>一、估价结果</t>
    <phoneticPr fontId="17" type="noConversion"/>
  </si>
  <si>
    <t>报告出具日期</t>
    <phoneticPr fontId="17" type="noConversion"/>
  </si>
  <si>
    <t>报告出具日期大写</t>
    <phoneticPr fontId="17" type="noConversion"/>
  </si>
  <si>
    <t>报告有效期</t>
    <phoneticPr fontId="17" type="noConversion"/>
  </si>
  <si>
    <t>报告有效期大写</t>
    <phoneticPr fontId="17" type="noConversion"/>
  </si>
  <si>
    <t>二、委托方基本信息</t>
    <phoneticPr fontId="17" type="noConversion"/>
  </si>
  <si>
    <t>三、报告基本信息</t>
    <phoneticPr fontId="17" type="noConversion"/>
  </si>
  <si>
    <t>四、评估对象基本情况</t>
    <phoneticPr fontId="17" type="noConversion"/>
  </si>
  <si>
    <t>五、评估对象概况描述</t>
    <phoneticPr fontId="17" type="noConversion"/>
  </si>
  <si>
    <t>六、估价方法测算</t>
    <phoneticPr fontId="17" type="noConversion"/>
  </si>
  <si>
    <t>家具评估结果明细表</t>
    <phoneticPr fontId="17" type="noConversion"/>
  </si>
  <si>
    <t>综合成新率</t>
    <phoneticPr fontId="17" type="noConversion"/>
  </si>
  <si>
    <t>币种：人民币</t>
    <phoneticPr fontId="17" type="noConversion"/>
  </si>
  <si>
    <t>重庆瑞达资产评估房地产土地估价有限公司</t>
    <phoneticPr fontId="17" type="noConversion"/>
  </si>
  <si>
    <t>二〇二四年八月二十一日</t>
    <phoneticPr fontId="17" type="noConversion"/>
  </si>
  <si>
    <t>餐桌1</t>
    <phoneticPr fontId="17" type="noConversion"/>
  </si>
  <si>
    <t>餐桌2</t>
    <phoneticPr fontId="17" type="noConversion"/>
  </si>
  <si>
    <t>书桌</t>
    <phoneticPr fontId="17" type="noConversion"/>
  </si>
  <si>
    <t>办公桌</t>
    <phoneticPr fontId="17" type="noConversion"/>
  </si>
  <si>
    <t>柜子</t>
    <phoneticPr fontId="17" type="noConversion"/>
  </si>
  <si>
    <t>重庆市渝北区人民法院</t>
    <phoneticPr fontId="17" type="noConversion"/>
  </si>
  <si>
    <t>郑法官</t>
    <phoneticPr fontId="17" type="noConversion"/>
  </si>
  <si>
    <t>65439867</t>
    <phoneticPr fontId="17" type="noConversion"/>
  </si>
  <si>
    <t>重庆市渝北区人民法院司法评估委托书</t>
    <phoneticPr fontId="17" type="noConversion"/>
  </si>
  <si>
    <t>（2024）渝北法委评字第858号</t>
    <phoneticPr fontId="17" type="noConversion"/>
  </si>
  <si>
    <t>渝瑞达房评〔2024〕司字第212号</t>
    <phoneticPr fontId="17" type="noConversion"/>
  </si>
  <si>
    <t>渝（2020）渝中区不动产权第000855395号</t>
    <phoneticPr fontId="17" type="noConversion"/>
  </si>
  <si>
    <t>渝中区长江一路79号15-1、15-6#</t>
    <phoneticPr fontId="17" type="noConversion"/>
  </si>
  <si>
    <t>周忠华</t>
    <phoneticPr fontId="17" type="noConversion"/>
  </si>
  <si>
    <t>单独所有</t>
  </si>
  <si>
    <t>E动力广场</t>
    <phoneticPr fontId="17" type="noConversion"/>
  </si>
  <si>
    <t>估价委托人介绍</t>
  </si>
  <si>
    <r>
      <t>位于</t>
    </r>
    <r>
      <rPr>
        <sz val="12"/>
        <color rgb="FFFF0000"/>
        <rFont val="楷体"/>
        <family val="3"/>
        <charset val="134"/>
      </rPr>
      <t>重庆大坪医院东侧</t>
    </r>
    <phoneticPr fontId="17" type="noConversion"/>
  </si>
  <si>
    <r>
      <t>距</t>
    </r>
    <r>
      <rPr>
        <sz val="12"/>
        <color rgb="FFFF0000"/>
        <rFont val="楷体"/>
        <family val="3"/>
        <charset val="134"/>
      </rPr>
      <t>重庆大坪医院</t>
    </r>
    <r>
      <rPr>
        <sz val="12"/>
        <color theme="1"/>
        <rFont val="楷体"/>
        <family val="3"/>
        <charset val="134"/>
      </rPr>
      <t>约</t>
    </r>
    <r>
      <rPr>
        <sz val="12"/>
        <color rgb="FFFF0000"/>
        <rFont val="楷体"/>
        <family val="3"/>
        <charset val="134"/>
      </rPr>
      <t>1.5</t>
    </r>
    <r>
      <rPr>
        <sz val="12"/>
        <color theme="1"/>
        <rFont val="楷体"/>
        <family val="3"/>
        <charset val="134"/>
      </rPr>
      <t>千米</t>
    </r>
    <phoneticPr fontId="17" type="noConversion"/>
  </si>
  <si>
    <r>
      <t>估价对象窗户朝</t>
    </r>
    <r>
      <rPr>
        <sz val="12"/>
        <color rgb="FFFF0000"/>
        <rFont val="楷体"/>
        <family val="3"/>
        <charset val="134"/>
      </rPr>
      <t>东南</t>
    </r>
    <phoneticPr fontId="17" type="noConversion"/>
  </si>
  <si>
    <t>长江一路</t>
    <phoneticPr fontId="17" type="noConversion"/>
  </si>
  <si>
    <r>
      <t>估价对象临</t>
    </r>
    <r>
      <rPr>
        <sz val="12"/>
        <color rgb="FFFF0000"/>
        <rFont val="楷体"/>
        <family val="3"/>
        <charset val="134"/>
      </rPr>
      <t>长江一路</t>
    </r>
    <r>
      <rPr>
        <sz val="12"/>
        <color theme="1"/>
        <rFont val="楷体"/>
        <family val="3"/>
        <charset val="134"/>
      </rPr>
      <t>，临</t>
    </r>
    <r>
      <rPr>
        <sz val="12"/>
        <color rgb="FFFF0000"/>
        <rFont val="楷体"/>
        <family val="3"/>
        <charset val="134"/>
      </rPr>
      <t>轻轨1号线大坪站约1.5千米</t>
    </r>
    <r>
      <rPr>
        <sz val="12"/>
        <color theme="1"/>
        <rFont val="楷体"/>
        <family val="3"/>
        <charset val="134"/>
      </rPr>
      <t>，临附近公交车站</t>
    </r>
    <r>
      <rPr>
        <sz val="12"/>
        <color rgb="FFFF0000"/>
        <rFont val="楷体"/>
        <family val="3"/>
        <charset val="134"/>
      </rPr>
      <t>肖家湾·圣佑胃肠医院</t>
    </r>
    <r>
      <rPr>
        <sz val="12"/>
        <color theme="1"/>
        <rFont val="楷体"/>
        <family val="3"/>
        <charset val="134"/>
      </rPr>
      <t>站，有</t>
    </r>
    <r>
      <rPr>
        <sz val="12"/>
        <color rgb="FFFF0000"/>
        <rFont val="楷体"/>
        <family val="3"/>
        <charset val="134"/>
      </rPr>
      <t>29、411、416、421、819、873路</t>
    </r>
    <r>
      <rPr>
        <sz val="12"/>
        <color theme="1"/>
        <rFont val="楷体"/>
        <family val="3"/>
        <charset val="134"/>
      </rPr>
      <t>公交车在此停靠，交通通达度</t>
    </r>
    <r>
      <rPr>
        <sz val="12"/>
        <color rgb="FFFF0000"/>
        <rFont val="楷体"/>
        <family val="3"/>
        <charset val="134"/>
      </rPr>
      <t>好</t>
    </r>
    <phoneticPr fontId="17" type="noConversion"/>
  </si>
  <si>
    <t>估价对象周边有地面画线车位，周边有沿街占道临时停车位，停车方便</t>
  </si>
  <si>
    <r>
      <t>所在区域周边多为</t>
    </r>
    <r>
      <rPr>
        <sz val="12"/>
        <color rgb="FFFF0000"/>
        <rFont val="楷体"/>
        <family val="3"/>
        <charset val="134"/>
      </rPr>
      <t>住宅楼</t>
    </r>
    <r>
      <rPr>
        <sz val="12"/>
        <color theme="1" tint="0.499984740745262"/>
        <rFont val="楷体"/>
        <family val="3"/>
        <charset val="134"/>
      </rPr>
      <t>，居民以一般职员为主，治安状况良好。相邻房地产以</t>
    </r>
    <r>
      <rPr>
        <sz val="12"/>
        <color rgb="FFFF0000"/>
        <rFont val="楷体"/>
        <family val="3"/>
        <charset val="134"/>
      </rPr>
      <t>和泓江山国际、景泰利园、江屿朗廷</t>
    </r>
    <r>
      <rPr>
        <sz val="12"/>
        <color theme="1" tint="0.499984740745262"/>
        <rFont val="楷体"/>
        <family val="3"/>
        <charset val="134"/>
      </rPr>
      <t>等房地产为主，区域内居住适宜度</t>
    </r>
    <r>
      <rPr>
        <sz val="12"/>
        <color rgb="FFFF0000"/>
        <rFont val="楷体"/>
        <family val="3"/>
        <charset val="134"/>
      </rPr>
      <t>较高</t>
    </r>
    <phoneticPr fontId="17" type="noConversion"/>
  </si>
  <si>
    <r>
      <rPr>
        <sz val="12"/>
        <color theme="1" tint="0.499984740745262"/>
        <rFont val="楷体"/>
        <family val="3"/>
        <charset val="134"/>
      </rPr>
      <t>估价对象周边有</t>
    </r>
    <r>
      <rPr>
        <sz val="12"/>
        <color rgb="FFFF0000"/>
        <rFont val="楷体"/>
        <family val="3"/>
        <charset val="134"/>
      </rPr>
      <t>中国建设银行(渝中肖家湾支行)、中国邮政储蓄银行(长江二路邮政所)、渝中区解放小学、重庆大坪医院、复旦中学(竹园校区)、利民超市(上肖家塆)、邻里超市(上肖家湾店)</t>
    </r>
    <r>
      <rPr>
        <sz val="12"/>
        <color theme="1" tint="0.499984740745262"/>
        <rFont val="楷体"/>
        <family val="3"/>
        <charset val="134"/>
      </rPr>
      <t>等公共配套设施完善，区域内城市给排水、供电、路网等基础设施系统</t>
    </r>
    <r>
      <rPr>
        <sz val="12"/>
        <color rgb="FFFF0000"/>
        <rFont val="楷体"/>
        <family val="3"/>
        <charset val="134"/>
      </rPr>
      <t>完善</t>
    </r>
    <phoneticPr fontId="17" type="noConversion"/>
  </si>
  <si>
    <r>
      <t>给排水：接市政管网，消防设施：室外消火栓系统、烟感喷淋系统，通讯：程控交换机、光纤，供电：接市政供电网；电梯：</t>
    </r>
    <r>
      <rPr>
        <sz val="12"/>
        <color rgb="FFFF0000"/>
        <rFont val="楷体"/>
        <family val="3"/>
        <charset val="134"/>
      </rPr>
      <t>配备电梯</t>
    </r>
    <r>
      <rPr>
        <sz val="12"/>
        <color theme="1" tint="0.499984740745262"/>
        <rFont val="楷体"/>
        <family val="3"/>
        <charset val="134"/>
      </rPr>
      <t>；通气状况：</t>
    </r>
    <r>
      <rPr>
        <sz val="12"/>
        <color rgb="FFFF0000"/>
        <rFont val="楷体"/>
        <family val="3"/>
        <charset val="134"/>
      </rPr>
      <t>通气</t>
    </r>
    <r>
      <rPr>
        <sz val="12"/>
        <color theme="1" tint="0.499984740745262"/>
        <rFont val="楷体"/>
        <family val="3"/>
        <charset val="134"/>
      </rPr>
      <t>。配置的设施设备使用正常，性能完好</t>
    </r>
    <phoneticPr fontId="17" type="noConversion"/>
  </si>
  <si>
    <r>
      <t>估价对象户型为平层三室两厅一厨两卫</t>
    </r>
    <r>
      <rPr>
        <sz val="12"/>
        <color theme="1"/>
        <rFont val="楷体"/>
        <family val="3"/>
        <charset val="134"/>
      </rPr>
      <t>，空间布局合理</t>
    </r>
    <phoneticPr fontId="17" type="noConversion"/>
  </si>
  <si>
    <t>所在楼栋有物业进行管理</t>
    <phoneticPr fontId="17" type="noConversion"/>
  </si>
  <si>
    <t>西临长江一路，东临空地，其余临其他建筑物</t>
    <phoneticPr fontId="17" type="noConversion"/>
  </si>
  <si>
    <t>渝中区长江一路79号</t>
    <phoneticPr fontId="17" type="noConversion"/>
  </si>
  <si>
    <t>精装修</t>
  </si>
  <si>
    <t>空调1
（柜）</t>
    <phoneticPr fontId="17" type="noConversion"/>
  </si>
  <si>
    <t>空调3
（挂）</t>
    <phoneticPr fontId="17" type="noConversion"/>
  </si>
  <si>
    <t>空调2
（挂）</t>
    <phoneticPr fontId="17" type="noConversion"/>
  </si>
  <si>
    <t>价值时点大写</t>
    <phoneticPr fontId="17" type="noConversion"/>
  </si>
  <si>
    <t>南</t>
    <phoneticPr fontId="17" type="noConversion"/>
  </si>
  <si>
    <t>南岸区长电路</t>
  </si>
  <si>
    <t>成交价格</t>
  </si>
  <si>
    <t>距商业中心的距离</t>
  </si>
  <si>
    <t>距区域商业中心3公里</t>
  </si>
  <si>
    <t>人口密度</t>
  </si>
  <si>
    <t>较密集</t>
  </si>
  <si>
    <t>道路通达度</t>
  </si>
  <si>
    <t>停车方便程度</t>
  </si>
  <si>
    <t>交通管制</t>
  </si>
  <si>
    <t>治安状况</t>
  </si>
  <si>
    <t>路网密度</t>
  </si>
  <si>
    <t>对外交通方便程度</t>
  </si>
  <si>
    <t>公共配套完备度</t>
  </si>
  <si>
    <t>较齐全</t>
  </si>
  <si>
    <t>结 构</t>
  </si>
  <si>
    <t>层 高</t>
  </si>
  <si>
    <t>第1层层高约7.3米，第2层约4.3米；其余约为3.5米</t>
  </si>
  <si>
    <t>1-5</t>
  </si>
  <si>
    <t>房屋形状</t>
  </si>
  <si>
    <t>较规则，较方便利用</t>
  </si>
  <si>
    <t>简装</t>
  </si>
  <si>
    <t>临街状况</t>
  </si>
  <si>
    <t>一面临街</t>
  </si>
  <si>
    <t>工业聚合度</t>
  </si>
  <si>
    <t>约2008年</t>
  </si>
  <si>
    <t>约2010年</t>
  </si>
  <si>
    <t>约2009年</t>
  </si>
  <si>
    <t>相似</t>
  </si>
  <si>
    <t>交易情况修正</t>
  </si>
  <si>
    <t>评估总价</t>
  </si>
  <si>
    <t>租金比较</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</si>
</sst>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76" formatCode="0.000%"/>
    <numFmt numFmtId="177" formatCode="0.00_ "/>
    <numFmt numFmtId="178" formatCode="0.00_);[Red]\(0.00\)"/>
    <numFmt numFmtId="179" formatCode="0_ "/>
    <numFmt numFmtId="180" formatCode="0.0%"/>
    <numFmt numFmtId="181" formatCode="0.0000_);[Red]\(0.0000\)"/>
    <numFmt numFmtId="182" formatCode="0_);[Red]\(0\)"/>
    <numFmt numFmtId="183" formatCode="0;[Red]0"/>
    <numFmt numFmtId="184" formatCode="yyyy&quot;年&quot;m&quot;月&quot;;@"/>
    <numFmt numFmtId="185" formatCode="yyyy&quot;年&quot;m&quot;月&quot;d&quot;日&quot;;@"/>
    <numFmt numFmtId="186" formatCode="[DBNum1][$-804]yyyy&quot;年&quot;m&quot;月&quot;d&quot;日&quot;;@"/>
    <numFmt numFmtId="187" formatCode="[DBNum2][$-804]General"/>
  </numFmts>
  <fonts count="71" x14ac:knownFonts="1">
    <font>
      <sz val="11"/>
      <color theme="1"/>
      <name val="宋体"/>
      <charset val="134"/>
      <scheme val="minor"/>
    </font>
    <font>
      <sz val="10.5"/>
      <name val="楷体"/>
      <family val="3"/>
      <charset val="134"/>
    </font>
    <font>
      <sz val="12"/>
      <name val="楷体"/>
      <family val="3"/>
      <charset val="134"/>
    </font>
    <font>
      <sz val="10.5"/>
      <color indexed="8"/>
      <name val="楷体"/>
      <family val="3"/>
      <charset val="134"/>
    </font>
    <font>
      <sz val="6"/>
      <name val="楷体"/>
      <family val="3"/>
      <charset val="134"/>
    </font>
    <font>
      <sz val="12"/>
      <name val="宋体"/>
      <family val="3"/>
      <charset val="134"/>
    </font>
    <font>
      <sz val="12"/>
      <color indexed="10"/>
      <name val="宋体"/>
      <family val="3"/>
      <charset val="134"/>
    </font>
    <font>
      <sz val="10"/>
      <name val="楷体"/>
      <family val="3"/>
      <charset val="134"/>
    </font>
    <font>
      <sz val="11"/>
      <color indexed="8"/>
      <name val="宋体"/>
      <family val="3"/>
      <charset val="134"/>
    </font>
    <font>
      <sz val="10"/>
      <name val="宋体"/>
      <family val="3"/>
      <charset val="134"/>
    </font>
    <font>
      <sz val="12"/>
      <color indexed="8"/>
      <name val="宋体"/>
      <family val="3"/>
      <charset val="134"/>
    </font>
    <font>
      <sz val="11"/>
      <color indexed="8"/>
      <name val="楷体"/>
      <family val="3"/>
      <charset val="134"/>
    </font>
    <font>
      <sz val="9"/>
      <name val="宋体"/>
      <family val="3"/>
      <charset val="134"/>
    </font>
    <font>
      <sz val="10"/>
      <color indexed="10"/>
      <name val="宋体"/>
      <family val="3"/>
      <charset val="134"/>
    </font>
    <font>
      <sz val="12"/>
      <name val="新宋体"/>
      <family val="3"/>
      <charset val="134"/>
    </font>
    <font>
      <vertAlign val="superscript"/>
      <sz val="10"/>
      <name val="宋体"/>
      <family val="3"/>
      <charset val="134"/>
    </font>
    <font>
      <vertAlign val="superscript"/>
      <sz val="9"/>
      <name val="宋体"/>
      <family val="3"/>
      <charset val="134"/>
    </font>
    <font>
      <sz val="9"/>
      <name val="宋体"/>
      <family val="3"/>
      <charset val="134"/>
      <scheme val="minor"/>
    </font>
    <font>
      <sz val="12"/>
      <color rgb="FFFF0000"/>
      <name val="楷体"/>
      <family val="3"/>
      <charset val="134"/>
    </font>
    <font>
      <sz val="11"/>
      <color theme="1"/>
      <name val="楷体"/>
      <family val="3"/>
      <charset val="134"/>
    </font>
    <font>
      <b/>
      <sz val="11"/>
      <color theme="1"/>
      <name val="楷体"/>
      <family val="3"/>
      <charset val="134"/>
    </font>
    <font>
      <b/>
      <sz val="11"/>
      <name val="楷体"/>
      <family val="3"/>
      <charset val="134"/>
    </font>
    <font>
      <b/>
      <sz val="11"/>
      <color indexed="8"/>
      <name val="楷体"/>
      <family val="3"/>
      <charset val="134"/>
    </font>
    <font>
      <b/>
      <sz val="12"/>
      <name val="楷体"/>
      <family val="3"/>
      <charset val="134"/>
    </font>
    <font>
      <sz val="10"/>
      <color theme="1"/>
      <name val="楷体"/>
      <family val="3"/>
      <charset val="134"/>
    </font>
    <font>
      <sz val="12"/>
      <name val="宋体"/>
      <family val="3"/>
      <charset val="134"/>
    </font>
    <font>
      <b/>
      <sz val="10"/>
      <color theme="1"/>
      <name val="楷体"/>
      <family val="3"/>
      <charset val="134"/>
    </font>
    <font>
      <b/>
      <sz val="25"/>
      <color theme="1"/>
      <name val="楷体"/>
      <family val="3"/>
      <charset val="134"/>
    </font>
    <font>
      <sz val="12"/>
      <color theme="1"/>
      <name val="楷体"/>
      <family val="3"/>
      <charset val="134"/>
    </font>
    <font>
      <b/>
      <sz val="12"/>
      <color theme="1"/>
      <name val="楷体"/>
      <family val="3"/>
      <charset val="134"/>
    </font>
    <font>
      <b/>
      <sz val="15"/>
      <color theme="1"/>
      <name val="楷体"/>
      <family val="3"/>
      <charset val="134"/>
    </font>
    <font>
      <sz val="12"/>
      <color indexed="8"/>
      <name val="楷体"/>
      <family val="3"/>
      <charset val="134"/>
    </font>
    <font>
      <u/>
      <sz val="11"/>
      <color theme="10"/>
      <name val="宋体"/>
      <family val="3"/>
      <charset val="134"/>
      <scheme val="minor"/>
    </font>
    <font>
      <sz val="10"/>
      <color rgb="FFFF0000"/>
      <name val="楷体"/>
      <family val="3"/>
      <charset val="134"/>
    </font>
    <font>
      <b/>
      <sz val="10"/>
      <color rgb="FFFF0000"/>
      <name val="楷体"/>
      <family val="3"/>
      <charset val="134"/>
    </font>
    <font>
      <sz val="9"/>
      <color theme="1"/>
      <name val="宋体"/>
      <family val="3"/>
      <charset val="134"/>
    </font>
    <font>
      <b/>
      <sz val="10.5"/>
      <color theme="1"/>
      <name val="宋体"/>
      <family val="3"/>
      <charset val="134"/>
    </font>
    <font>
      <sz val="10.5"/>
      <color theme="1"/>
      <name val="宋体"/>
      <family val="3"/>
      <charset val="134"/>
    </font>
    <font>
      <b/>
      <sz val="18"/>
      <color theme="1"/>
      <name val="宋体"/>
      <family val="3"/>
      <charset val="134"/>
      <scheme val="minor"/>
    </font>
    <font>
      <sz val="9"/>
      <name val="宋体"/>
      <family val="3"/>
      <charset val="134"/>
      <scheme val="minor"/>
    </font>
    <font>
      <sz val="12"/>
      <color rgb="FF000000"/>
      <name val="楷体"/>
      <family val="3"/>
      <charset val="134"/>
    </font>
    <font>
      <sz val="24"/>
      <color theme="1"/>
      <name val="楷体"/>
      <family val="3"/>
      <charset val="134"/>
    </font>
    <font>
      <b/>
      <sz val="11"/>
      <color rgb="FFFF0000"/>
      <name val="楷体"/>
      <family val="3"/>
      <charset val="134"/>
    </font>
    <font>
      <sz val="14"/>
      <color theme="1"/>
      <name val="楷体"/>
      <family val="3"/>
      <charset val="134"/>
    </font>
    <font>
      <b/>
      <sz val="14"/>
      <color theme="1"/>
      <name val="楷体"/>
      <family val="3"/>
      <charset val="134"/>
    </font>
    <font>
      <sz val="20"/>
      <color indexed="10"/>
      <name val="宋体"/>
      <family val="3"/>
      <charset val="134"/>
    </font>
    <font>
      <sz val="12"/>
      <color indexed="12"/>
      <name val="宋体"/>
      <family val="3"/>
      <charset val="134"/>
    </font>
    <font>
      <sz val="12"/>
      <color indexed="12"/>
      <name val="Arial Black"/>
      <family val="2"/>
    </font>
    <font>
      <b/>
      <sz val="20"/>
      <color indexed="59"/>
      <name val="宋体"/>
      <family val="3"/>
      <charset val="134"/>
    </font>
    <font>
      <b/>
      <sz val="12"/>
      <name val="Arial Black"/>
      <family val="2"/>
    </font>
    <font>
      <sz val="11"/>
      <color rgb="FFFF0000"/>
      <name val="楷体"/>
      <family val="3"/>
      <charset val="134"/>
    </font>
    <font>
      <sz val="11"/>
      <name val="楷体"/>
      <family val="3"/>
      <charset val="134"/>
    </font>
    <font>
      <sz val="11"/>
      <color theme="1" tint="0.499984740745262"/>
      <name val="楷体"/>
      <family val="3"/>
      <charset val="134"/>
    </font>
    <font>
      <sz val="11"/>
      <color theme="0"/>
      <name val="楷体"/>
      <family val="3"/>
      <charset val="134"/>
    </font>
    <font>
      <sz val="12"/>
      <color theme="1" tint="0.499984740745262"/>
      <name val="楷体"/>
      <family val="3"/>
      <charset val="134"/>
    </font>
    <font>
      <sz val="12"/>
      <color theme="0"/>
      <name val="楷体"/>
      <family val="3"/>
      <charset val="134"/>
    </font>
    <font>
      <b/>
      <sz val="11"/>
      <color theme="1" tint="0.499984740745262"/>
      <name val="楷体"/>
      <family val="3"/>
      <charset val="134"/>
    </font>
    <font>
      <b/>
      <sz val="11"/>
      <color theme="0"/>
      <name val="楷体"/>
      <family val="3"/>
      <charset val="134"/>
    </font>
    <font>
      <b/>
      <sz val="12"/>
      <color theme="0"/>
      <name val="楷体"/>
      <family val="3"/>
      <charset val="134"/>
    </font>
    <font>
      <b/>
      <u/>
      <sz val="11"/>
      <color theme="1"/>
      <name val="楷体"/>
      <family val="3"/>
      <charset val="134"/>
    </font>
    <font>
      <sz val="10"/>
      <color theme="5"/>
      <name val="楷体"/>
      <family val="3"/>
      <charset val="134"/>
    </font>
    <font>
      <sz val="12"/>
      <color rgb="FFC71773"/>
      <name val="楷体"/>
      <family val="3"/>
      <charset val="134"/>
    </font>
    <font>
      <sz val="11"/>
      <color rgb="FFC71773"/>
      <name val="楷体"/>
      <family val="3"/>
      <charset val="134"/>
    </font>
    <font>
      <sz val="8"/>
      <color theme="1"/>
      <name val="楷体"/>
      <family val="3"/>
      <charset val="134"/>
    </font>
    <font>
      <b/>
      <sz val="12"/>
      <color rgb="FF000000"/>
      <name val="楷体"/>
      <family val="3"/>
      <charset val="134"/>
    </font>
    <font>
      <sz val="20"/>
      <color theme="1"/>
      <name val="楷体"/>
      <family val="3"/>
      <charset val="134"/>
    </font>
    <font>
      <sz val="10"/>
      <color rgb="FF000000"/>
      <name val="仿宋_GB2312"/>
      <family val="3"/>
      <charset val="134"/>
    </font>
    <font>
      <sz val="11"/>
      <color theme="1"/>
      <name val="仿宋_GB2312"/>
      <family val="3"/>
      <charset val="134"/>
    </font>
    <font>
      <sz val="11"/>
      <color rgb="FFFF0000"/>
      <name val="仿宋_GB2312"/>
      <family val="3"/>
      <charset val="134"/>
    </font>
    <font>
      <sz val="10"/>
      <color theme="1" tint="0.499984740745262"/>
      <name val="楷体"/>
      <family val="3"/>
      <charset val="134"/>
    </font>
    <font>
      <sz val="10"/>
      <color rgb="FF000000"/>
      <name val="楷体"/>
      <family val="3"/>
      <charset val="134"/>
    </font>
  </fonts>
  <fills count="12">
    <fill>
      <patternFill patternType="none"/>
    </fill>
    <fill>
      <patternFill patternType="gray125"/>
    </fill>
    <fill>
      <patternFill patternType="solid">
        <fgColor indexed="13"/>
        <bgColor indexed="64"/>
      </patternFill>
    </fill>
    <fill>
      <patternFill patternType="solid">
        <fgColor rgb="FF00FF0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indexed="42"/>
        <bgColor indexed="64"/>
      </patternFill>
    </fill>
    <fill>
      <patternFill patternType="solid">
        <fgColor indexed="41"/>
        <bgColor indexed="64"/>
      </patternFill>
    </fill>
    <fill>
      <patternFill patternType="solid">
        <fgColor theme="6" tint="0.59999389629810485"/>
        <bgColor indexed="64"/>
      </patternFill>
    </fill>
    <fill>
      <patternFill patternType="solid">
        <fgColor theme="0"/>
        <bgColor indexed="64"/>
      </patternFill>
    </fill>
    <fill>
      <patternFill patternType="solid">
        <fgColor rgb="FF36AAF7"/>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s>
  <cellStyleXfs count="17">
    <xf numFmtId="0" fontId="0" fillId="0" borderId="0">
      <alignment vertical="center"/>
    </xf>
    <xf numFmtId="0" fontId="14" fillId="0" borderId="0">
      <alignment vertical="center"/>
    </xf>
    <xf numFmtId="0" fontId="8" fillId="0" borderId="0">
      <alignment vertical="center"/>
    </xf>
    <xf numFmtId="0" fontId="14" fillId="0" borderId="0">
      <alignment vertical="center"/>
    </xf>
    <xf numFmtId="0" fontId="8" fillId="0" borderId="0">
      <alignment vertical="center"/>
    </xf>
    <xf numFmtId="9" fontId="8" fillId="0" borderId="0" applyFont="0" applyFill="0" applyBorder="0" applyAlignment="0" applyProtection="0">
      <alignment vertical="center"/>
    </xf>
    <xf numFmtId="0" fontId="8" fillId="0" borderId="0">
      <alignment vertical="center"/>
    </xf>
    <xf numFmtId="0" fontId="5" fillId="0" borderId="0"/>
    <xf numFmtId="9" fontId="8" fillId="0" borderId="0" applyFont="0" applyFill="0" applyBorder="0" applyAlignment="0" applyProtection="0">
      <alignment vertical="center"/>
    </xf>
    <xf numFmtId="0" fontId="5" fillId="0" borderId="0">
      <alignment vertical="center"/>
    </xf>
    <xf numFmtId="0" fontId="5" fillId="0" borderId="0"/>
    <xf numFmtId="43" fontId="5" fillId="0" borderId="0" applyFont="0" applyFill="0" applyBorder="0" applyAlignment="0" applyProtection="0"/>
    <xf numFmtId="0" fontId="5" fillId="0" borderId="0" applyNumberFormat="0" applyFill="0" applyBorder="0" applyAlignment="0" applyProtection="0"/>
    <xf numFmtId="0" fontId="5" fillId="0" borderId="0">
      <alignment vertical="center"/>
    </xf>
    <xf numFmtId="0" fontId="5" fillId="0" borderId="0"/>
    <xf numFmtId="0" fontId="25" fillId="0" borderId="0">
      <alignment vertical="center"/>
    </xf>
    <xf numFmtId="0" fontId="32" fillId="0" borderId="0" applyNumberFormat="0" applyFill="0" applyBorder="0" applyAlignment="0" applyProtection="0">
      <alignment vertical="center"/>
    </xf>
  </cellStyleXfs>
  <cellXfs count="371">
    <xf numFmtId="0" fontId="0" fillId="0" borderId="0" xfId="0">
      <alignment vertical="center"/>
    </xf>
    <xf numFmtId="178" fontId="1" fillId="0" borderId="1" xfId="2" applyNumberFormat="1" applyFont="1" applyBorder="1" applyAlignment="1">
      <alignment horizontal="center" vertical="center" wrapText="1"/>
    </xf>
    <xf numFmtId="0" fontId="5" fillId="0" borderId="0" xfId="12" applyAlignment="1">
      <alignment horizontal="center" vertical="center"/>
    </xf>
    <xf numFmtId="0" fontId="6" fillId="0" borderId="0" xfId="12" applyFont="1" applyAlignment="1">
      <alignment horizontal="center" vertical="center"/>
    </xf>
    <xf numFmtId="0" fontId="2" fillId="0" borderId="0" xfId="1" applyFont="1">
      <alignment vertical="center"/>
    </xf>
    <xf numFmtId="177" fontId="1" fillId="0" borderId="1" xfId="2" applyNumberFormat="1" applyFont="1" applyBorder="1" applyAlignment="1">
      <alignment horizontal="center" vertical="center" wrapText="1"/>
    </xf>
    <xf numFmtId="0" fontId="2" fillId="0" borderId="0" xfId="1" applyFont="1" applyAlignment="1">
      <alignment horizontal="center" vertical="center"/>
    </xf>
    <xf numFmtId="0" fontId="1" fillId="0" borderId="1" xfId="2" applyFont="1" applyBorder="1" applyAlignment="1">
      <alignment horizontal="center" vertical="center" wrapText="1"/>
    </xf>
    <xf numFmtId="10" fontId="1" fillId="0" borderId="1" xfId="2" applyNumberFormat="1" applyFont="1" applyBorder="1" applyAlignment="1">
      <alignment horizontal="center" vertical="center" wrapText="1"/>
    </xf>
    <xf numFmtId="177" fontId="1" fillId="2" borderId="1" xfId="2" applyNumberFormat="1" applyFont="1" applyFill="1" applyBorder="1" applyAlignment="1">
      <alignment horizontal="center" vertical="center" wrapText="1"/>
    </xf>
    <xf numFmtId="176" fontId="4" fillId="0" borderId="1" xfId="2" applyNumberFormat="1" applyFont="1" applyBorder="1" applyAlignment="1">
      <alignment horizontal="center" vertical="center" wrapText="1"/>
    </xf>
    <xf numFmtId="178" fontId="4" fillId="0" borderId="1" xfId="2" applyNumberFormat="1" applyFont="1" applyBorder="1" applyAlignment="1">
      <alignment horizontal="center" vertical="center" wrapText="1"/>
    </xf>
    <xf numFmtId="0" fontId="7" fillId="0" borderId="0" xfId="1" applyFont="1" applyAlignment="1">
      <alignment horizontal="center" vertical="center"/>
    </xf>
    <xf numFmtId="9" fontId="1" fillId="0" borderId="1" xfId="8" applyFont="1" applyBorder="1" applyAlignment="1">
      <alignment horizontal="center" vertical="center" wrapText="1"/>
    </xf>
    <xf numFmtId="0" fontId="1" fillId="0" borderId="1" xfId="8" applyNumberFormat="1" applyFont="1" applyBorder="1" applyAlignment="1">
      <alignment horizontal="center" vertical="center" wrapText="1"/>
    </xf>
    <xf numFmtId="181" fontId="1" fillId="0" borderId="1" xfId="2" applyNumberFormat="1" applyFont="1" applyBorder="1" applyAlignment="1">
      <alignment horizontal="center" vertical="center" wrapText="1"/>
    </xf>
    <xf numFmtId="178" fontId="1" fillId="0" borderId="0" xfId="6" applyNumberFormat="1" applyFont="1" applyAlignment="1">
      <alignment horizontal="center" vertical="center" wrapText="1"/>
    </xf>
    <xf numFmtId="0" fontId="8" fillId="0" borderId="0" xfId="0" applyFont="1" applyAlignment="1">
      <alignment horizontal="center" vertical="center"/>
    </xf>
    <xf numFmtId="10" fontId="1" fillId="0" borderId="0" xfId="6" applyNumberFormat="1" applyFont="1" applyAlignment="1">
      <alignment horizontal="center" vertical="center" wrapText="1"/>
    </xf>
    <xf numFmtId="0" fontId="0" fillId="2" borderId="0" xfId="0" applyFill="1">
      <alignment vertical="center"/>
    </xf>
    <xf numFmtId="10" fontId="0" fillId="2" borderId="0" xfId="0" applyNumberFormat="1" applyFill="1">
      <alignment vertical="center"/>
    </xf>
    <xf numFmtId="0" fontId="0" fillId="0" borderId="0" xfId="0" applyAlignment="1">
      <alignment horizontal="center" vertical="center"/>
    </xf>
    <xf numFmtId="10" fontId="0" fillId="2" borderId="0" xfId="0" applyNumberFormat="1" applyFill="1" applyAlignment="1">
      <alignment horizontal="center" vertical="center"/>
    </xf>
    <xf numFmtId="178" fontId="0" fillId="0" borderId="0" xfId="0" applyNumberFormat="1" applyAlignment="1">
      <alignment horizontal="center" vertical="center"/>
    </xf>
    <xf numFmtId="0" fontId="8" fillId="0" borderId="0" xfId="0" applyFont="1">
      <alignment vertical="center"/>
    </xf>
    <xf numFmtId="14" fontId="9" fillId="0" borderId="0" xfId="9" applyNumberFormat="1" applyFont="1">
      <alignment vertical="center"/>
    </xf>
    <xf numFmtId="14" fontId="9" fillId="0" borderId="0" xfId="9" applyNumberFormat="1" applyFont="1" applyAlignment="1">
      <alignment horizontal="center" vertical="center"/>
    </xf>
    <xf numFmtId="0" fontId="9" fillId="0" borderId="0" xfId="9" applyFont="1">
      <alignment vertical="center"/>
    </xf>
    <xf numFmtId="0" fontId="10" fillId="0" borderId="0" xfId="0" applyFont="1" applyAlignment="1">
      <alignment horizontal="justify" vertical="center"/>
    </xf>
    <xf numFmtId="0" fontId="5" fillId="0" borderId="0" xfId="12" applyAlignment="1">
      <alignment horizontal="left" vertical="center" wrapText="1"/>
    </xf>
    <xf numFmtId="0" fontId="11" fillId="0" borderId="0" xfId="0" applyFont="1">
      <alignment vertical="center"/>
    </xf>
    <xf numFmtId="0" fontId="12" fillId="0" borderId="1" xfId="12" applyFont="1" applyBorder="1" applyAlignment="1">
      <alignment horizontal="center" vertical="center" wrapText="1"/>
    </xf>
    <xf numFmtId="49" fontId="9" fillId="0" borderId="1" xfId="9" applyNumberFormat="1" applyFont="1" applyBorder="1" applyAlignment="1">
      <alignment horizontal="center" vertical="center"/>
    </xf>
    <xf numFmtId="0" fontId="9" fillId="0" borderId="1" xfId="9" applyFont="1" applyBorder="1" applyAlignment="1">
      <alignment horizontal="center" vertical="center" wrapText="1"/>
    </xf>
    <xf numFmtId="49" fontId="12" fillId="0" borderId="1" xfId="9" applyNumberFormat="1" applyFont="1" applyBorder="1" applyAlignment="1">
      <alignment horizontal="center" vertical="center"/>
    </xf>
    <xf numFmtId="0" fontId="9" fillId="0" borderId="1" xfId="12" applyFont="1" applyBorder="1" applyAlignment="1">
      <alignment horizontal="center" vertical="center" wrapText="1"/>
    </xf>
    <xf numFmtId="0" fontId="12" fillId="0" borderId="1" xfId="9" applyFont="1" applyBorder="1" applyAlignment="1">
      <alignment horizontal="center" vertical="center"/>
    </xf>
    <xf numFmtId="49" fontId="12" fillId="0" borderId="1" xfId="12" applyNumberFormat="1" applyFont="1" applyBorder="1" applyAlignment="1">
      <alignment horizontal="center" vertical="center" wrapText="1"/>
    </xf>
    <xf numFmtId="183" fontId="12" fillId="2" borderId="1" xfId="12" applyNumberFormat="1" applyFont="1" applyFill="1" applyBorder="1" applyAlignment="1">
      <alignment horizontal="center" vertical="center" wrapText="1"/>
    </xf>
    <xf numFmtId="180" fontId="12" fillId="0" borderId="1" xfId="12" applyNumberFormat="1" applyFont="1" applyBorder="1" applyAlignment="1">
      <alignment horizontal="center" vertical="center" wrapText="1"/>
    </xf>
    <xf numFmtId="0" fontId="9" fillId="0" borderId="0" xfId="12" applyFont="1" applyAlignment="1">
      <alignment horizontal="center" vertical="center"/>
    </xf>
    <xf numFmtId="0" fontId="9" fillId="0" borderId="1" xfId="12" applyFont="1" applyBorder="1" applyAlignment="1">
      <alignment horizontal="center" vertical="center"/>
    </xf>
    <xf numFmtId="0" fontId="9" fillId="0" borderId="1" xfId="9" applyFont="1" applyBorder="1" applyAlignment="1">
      <alignment horizontal="center" vertical="center"/>
    </xf>
    <xf numFmtId="183" fontId="12" fillId="0" borderId="1" xfId="12" applyNumberFormat="1" applyFont="1" applyBorder="1" applyAlignment="1">
      <alignment horizontal="center" vertical="center" wrapText="1"/>
    </xf>
    <xf numFmtId="184" fontId="12" fillId="0" borderId="1" xfId="9" applyNumberFormat="1" applyFont="1" applyBorder="1" applyAlignment="1">
      <alignment horizontal="center" vertical="center" wrapText="1"/>
    </xf>
    <xf numFmtId="0" fontId="9" fillId="0" borderId="1" xfId="14" applyFont="1" applyBorder="1" applyAlignment="1">
      <alignment horizontal="center" vertical="center" wrapText="1"/>
    </xf>
    <xf numFmtId="0" fontId="9" fillId="0" borderId="1" xfId="12" applyFont="1" applyFill="1" applyBorder="1" applyAlignment="1">
      <alignment horizontal="center" vertical="center" wrapText="1"/>
    </xf>
    <xf numFmtId="0" fontId="9" fillId="0" borderId="2" xfId="12" applyFont="1" applyFill="1" applyBorder="1" applyAlignment="1">
      <alignment horizontal="center" vertical="center" wrapText="1"/>
    </xf>
    <xf numFmtId="178" fontId="2" fillId="0" borderId="0" xfId="1" applyNumberFormat="1" applyFont="1">
      <alignment vertical="center"/>
    </xf>
    <xf numFmtId="0" fontId="9" fillId="0" borderId="1" xfId="14" applyFont="1" applyBorder="1" applyAlignment="1">
      <alignment horizontal="center" vertical="center"/>
    </xf>
    <xf numFmtId="0" fontId="9" fillId="0" borderId="6" xfId="9" applyFont="1" applyBorder="1" applyAlignment="1">
      <alignment horizontal="center" vertical="center"/>
    </xf>
    <xf numFmtId="0" fontId="9" fillId="0" borderId="0" xfId="12" applyFont="1" applyFill="1" applyBorder="1" applyAlignment="1">
      <alignment horizontal="center" vertical="center" wrapText="1"/>
    </xf>
    <xf numFmtId="0" fontId="9" fillId="0" borderId="0" xfId="12" applyFont="1" applyFill="1" applyBorder="1" applyAlignment="1">
      <alignment horizontal="center" vertical="center"/>
    </xf>
    <xf numFmtId="0" fontId="9" fillId="0" borderId="6" xfId="12" applyFont="1" applyBorder="1" applyAlignment="1">
      <alignment horizontal="center" vertical="center"/>
    </xf>
    <xf numFmtId="0" fontId="9" fillId="0" borderId="1" xfId="9" applyFont="1" applyBorder="1" applyAlignment="1">
      <alignment horizontal="center" wrapText="1"/>
    </xf>
    <xf numFmtId="49" fontId="5" fillId="0" borderId="0" xfId="12" applyNumberFormat="1" applyAlignment="1">
      <alignment horizontal="center" vertical="center"/>
    </xf>
    <xf numFmtId="0" fontId="13" fillId="0" borderId="8" xfId="12" applyFont="1" applyFill="1" applyBorder="1" applyAlignment="1">
      <alignment horizontal="center" vertical="center" wrapText="1"/>
    </xf>
    <xf numFmtId="0" fontId="13" fillId="0" borderId="8" xfId="12" applyFont="1" applyFill="1" applyBorder="1" applyAlignment="1">
      <alignment horizontal="center" vertical="center"/>
    </xf>
    <xf numFmtId="0" fontId="13" fillId="0" borderId="1" xfId="9" applyFont="1" applyBorder="1" applyAlignment="1">
      <alignment horizontal="center" vertical="center" wrapText="1"/>
    </xf>
    <xf numFmtId="0" fontId="6" fillId="0" borderId="0" xfId="9" applyFont="1">
      <alignment vertical="center"/>
    </xf>
    <xf numFmtId="0" fontId="2" fillId="0" borderId="1" xfId="3" applyFont="1" applyBorder="1" applyAlignment="1">
      <alignment horizontal="center" vertical="center" wrapText="1"/>
    </xf>
    <xf numFmtId="0" fontId="18" fillId="0" borderId="1" xfId="3" applyFont="1" applyBorder="1" applyAlignment="1" applyProtection="1">
      <alignment horizontal="center" vertical="center" wrapText="1"/>
      <protection locked="0"/>
    </xf>
    <xf numFmtId="0" fontId="19" fillId="0" borderId="0" xfId="0" applyFont="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wrapText="1"/>
    </xf>
    <xf numFmtId="185" fontId="19" fillId="0" borderId="0" xfId="0" applyNumberFormat="1" applyFont="1" applyAlignment="1">
      <alignment horizontal="center" vertical="center" wrapText="1"/>
    </xf>
    <xf numFmtId="0" fontId="21" fillId="4"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19" fillId="0" borderId="0" xfId="0" applyFont="1" applyAlignment="1" applyProtection="1">
      <alignment horizontal="center" vertical="center" wrapText="1"/>
      <protection locked="0"/>
    </xf>
    <xf numFmtId="0" fontId="26" fillId="0" borderId="1" xfId="0" applyFont="1" applyBorder="1" applyAlignment="1" applyProtection="1">
      <alignment horizontal="center" vertical="center" wrapText="1"/>
      <protection locked="0"/>
    </xf>
    <xf numFmtId="0" fontId="24" fillId="0" borderId="0" xfId="0" applyFont="1" applyAlignment="1" applyProtection="1">
      <alignment horizontal="center" vertical="center" wrapText="1"/>
      <protection locked="0"/>
    </xf>
    <xf numFmtId="0" fontId="24" fillId="0" borderId="1" xfId="0" applyFont="1" applyBorder="1" applyAlignment="1" applyProtection="1">
      <alignment horizontal="center" vertical="center" wrapText="1"/>
      <protection locked="0"/>
    </xf>
    <xf numFmtId="0" fontId="24" fillId="0" borderId="1" xfId="9" applyFont="1" applyBorder="1" applyAlignment="1">
      <alignment horizontal="center" vertical="center" wrapText="1"/>
    </xf>
    <xf numFmtId="0" fontId="24" fillId="0" borderId="7" xfId="0" applyFont="1" applyBorder="1" applyAlignment="1" applyProtection="1">
      <alignment horizontal="center" vertical="center" wrapText="1"/>
      <protection locked="0"/>
    </xf>
    <xf numFmtId="0" fontId="24" fillId="0" borderId="7" xfId="0" applyFont="1" applyBorder="1" applyAlignment="1">
      <alignment horizontal="center" vertical="center" wrapText="1"/>
    </xf>
    <xf numFmtId="0" fontId="26" fillId="0" borderId="1" xfId="9" applyFont="1" applyBorder="1" applyAlignment="1" applyProtection="1">
      <alignment horizontal="center" vertical="center" wrapText="1"/>
      <protection locked="0"/>
    </xf>
    <xf numFmtId="0" fontId="26" fillId="0" borderId="7" xfId="9" applyFont="1" applyBorder="1" applyAlignment="1" applyProtection="1">
      <alignment horizontal="center" vertical="center" wrapText="1"/>
      <protection locked="0"/>
    </xf>
    <xf numFmtId="0" fontId="26" fillId="0" borderId="7" xfId="0" applyFont="1" applyBorder="1" applyAlignment="1" applyProtection="1">
      <alignment horizontal="center" vertical="center" wrapText="1"/>
      <protection locked="0"/>
    </xf>
    <xf numFmtId="0" fontId="26" fillId="0" borderId="1" xfId="0" applyFont="1" applyBorder="1" applyAlignment="1">
      <alignment horizontal="center" vertical="center" wrapText="1"/>
    </xf>
    <xf numFmtId="0" fontId="23" fillId="0" borderId="1" xfId="13" applyFont="1" applyBorder="1" applyAlignment="1" applyProtection="1">
      <alignment horizontal="left" vertical="center" wrapText="1"/>
      <protection locked="0"/>
    </xf>
    <xf numFmtId="0" fontId="28" fillId="0" borderId="1" xfId="0" applyFont="1" applyBorder="1" applyAlignment="1">
      <alignment horizontal="center" vertical="center" wrapText="1"/>
    </xf>
    <xf numFmtId="0" fontId="23" fillId="0" borderId="1" xfId="15" applyFont="1" applyBorder="1" applyAlignment="1" applyProtection="1">
      <alignment horizontal="left" vertical="center" wrapText="1"/>
      <protection hidden="1"/>
    </xf>
    <xf numFmtId="0" fontId="29" fillId="0" borderId="1" xfId="0" applyFont="1" applyBorder="1" applyAlignment="1">
      <alignment horizontal="left" vertical="center" wrapText="1"/>
    </xf>
    <xf numFmtId="0" fontId="23" fillId="0" borderId="1" xfId="15" applyFont="1" applyBorder="1" applyAlignment="1" applyProtection="1">
      <alignment horizontal="left" vertical="center"/>
      <protection hidden="1"/>
    </xf>
    <xf numFmtId="9" fontId="28" fillId="0" borderId="1" xfId="0" applyNumberFormat="1" applyFont="1" applyBorder="1" applyAlignment="1">
      <alignment horizontal="center" vertical="center" wrapText="1"/>
    </xf>
    <xf numFmtId="0" fontId="23" fillId="0" borderId="1" xfId="0" applyFont="1" applyBorder="1" applyAlignment="1" applyProtection="1">
      <alignment vertical="center" wrapText="1"/>
      <protection hidden="1"/>
    </xf>
    <xf numFmtId="0" fontId="23" fillId="0" borderId="1" xfId="15" applyFont="1" applyBorder="1" applyProtection="1">
      <alignment vertical="center"/>
      <protection hidden="1"/>
    </xf>
    <xf numFmtId="0" fontId="29" fillId="0" borderId="1" xfId="15" applyFont="1" applyBorder="1" applyAlignment="1" applyProtection="1">
      <alignment horizontal="left" vertical="center" wrapText="1"/>
      <protection hidden="1"/>
    </xf>
    <xf numFmtId="0" fontId="29" fillId="0" borderId="1" xfId="15" applyFont="1" applyBorder="1" applyAlignment="1" applyProtection="1">
      <alignment horizontal="left" vertical="center" wrapText="1"/>
      <protection locked="0"/>
    </xf>
    <xf numFmtId="0" fontId="23" fillId="0" borderId="1" xfId="0" applyFont="1" applyBorder="1" applyAlignment="1" applyProtection="1">
      <alignment vertical="center" wrapText="1"/>
      <protection locked="0" hidden="1"/>
    </xf>
    <xf numFmtId="0" fontId="28" fillId="0" borderId="0" xfId="0" applyFont="1" applyAlignment="1">
      <alignment horizontal="center" vertical="center" wrapText="1"/>
    </xf>
    <xf numFmtId="177" fontId="2" fillId="0" borderId="1" xfId="2" applyNumberFormat="1" applyFont="1" applyBorder="1" applyAlignment="1">
      <alignment horizontal="center" vertical="center" wrapText="1"/>
    </xf>
    <xf numFmtId="178" fontId="2" fillId="0" borderId="1" xfId="2" applyNumberFormat="1" applyFont="1" applyBorder="1" applyAlignment="1">
      <alignment horizontal="center" vertical="center" wrapText="1"/>
    </xf>
    <xf numFmtId="0" fontId="2" fillId="0" borderId="1" xfId="2" applyFont="1" applyBorder="1" applyAlignment="1">
      <alignment horizontal="center" vertical="center" wrapText="1"/>
    </xf>
    <xf numFmtId="179" fontId="2" fillId="0" borderId="1" xfId="2" applyNumberFormat="1" applyFont="1" applyBorder="1" applyAlignment="1">
      <alignment horizontal="center" vertical="center" wrapText="1"/>
    </xf>
    <xf numFmtId="0" fontId="18" fillId="0" borderId="1" xfId="0" applyFont="1" applyBorder="1" applyAlignment="1">
      <alignment horizontal="center" vertical="center" wrapText="1"/>
    </xf>
    <xf numFmtId="49" fontId="28" fillId="0" borderId="1" xfId="0" applyNumberFormat="1" applyFont="1" applyBorder="1" applyAlignment="1" applyProtection="1">
      <alignment horizontal="center" vertical="center" wrapText="1"/>
      <protection locked="0"/>
    </xf>
    <xf numFmtId="49" fontId="18" fillId="0" borderId="1" xfId="0" applyNumberFormat="1" applyFont="1" applyBorder="1" applyAlignment="1" applyProtection="1">
      <alignment horizontal="center" vertical="center" wrapText="1"/>
      <protection locked="0"/>
    </xf>
    <xf numFmtId="180" fontId="18" fillId="0" borderId="1" xfId="0" applyNumberFormat="1" applyFont="1" applyBorder="1" applyAlignment="1" applyProtection="1">
      <alignment horizontal="center" vertical="center" wrapText="1"/>
      <protection locked="0"/>
    </xf>
    <xf numFmtId="176" fontId="2" fillId="0" borderId="1" xfId="2" applyNumberFormat="1" applyFont="1" applyBorder="1" applyAlignment="1">
      <alignment horizontal="center" vertical="center" wrapText="1"/>
    </xf>
    <xf numFmtId="9" fontId="18" fillId="0" borderId="1" xfId="8" applyFont="1" applyFill="1" applyBorder="1" applyAlignment="1" applyProtection="1">
      <alignment horizontal="center" vertical="center" wrapText="1"/>
      <protection locked="0"/>
    </xf>
    <xf numFmtId="0" fontId="18" fillId="0" borderId="1" xfId="8" applyNumberFormat="1" applyFont="1" applyFill="1" applyBorder="1" applyAlignment="1" applyProtection="1">
      <alignment horizontal="center" vertical="center" wrapText="1"/>
      <protection locked="0"/>
    </xf>
    <xf numFmtId="10" fontId="2" fillId="0" borderId="1" xfId="2" applyNumberFormat="1" applyFont="1" applyBorder="1" applyAlignment="1" applyProtection="1">
      <alignment horizontal="center" vertical="center" wrapText="1"/>
      <protection locked="0"/>
    </xf>
    <xf numFmtId="181" fontId="2" fillId="0" borderId="1" xfId="2" applyNumberFormat="1" applyFont="1" applyBorder="1" applyAlignment="1">
      <alignment horizontal="center" vertical="center" wrapText="1"/>
    </xf>
    <xf numFmtId="182" fontId="2" fillId="0" borderId="1" xfId="2" applyNumberFormat="1" applyFont="1" applyBorder="1" applyAlignment="1">
      <alignment horizontal="center" vertical="center" wrapText="1"/>
    </xf>
    <xf numFmtId="0" fontId="33" fillId="0" borderId="1" xfId="0" applyFont="1" applyBorder="1" applyAlignment="1" applyProtection="1">
      <alignment horizontal="center" vertical="center" wrapText="1"/>
      <protection locked="0"/>
    </xf>
    <xf numFmtId="182" fontId="33" fillId="0" borderId="1" xfId="0" applyNumberFormat="1" applyFont="1" applyBorder="1" applyAlignment="1" applyProtection="1">
      <alignment horizontal="center" vertical="center" wrapText="1"/>
      <protection locked="0"/>
    </xf>
    <xf numFmtId="57" fontId="33" fillId="0" borderId="1" xfId="0" applyNumberFormat="1" applyFont="1" applyBorder="1" applyAlignment="1" applyProtection="1">
      <alignment horizontal="center" vertical="center" wrapText="1"/>
      <protection locked="0"/>
    </xf>
    <xf numFmtId="0" fontId="33" fillId="0" borderId="1" xfId="15" applyFont="1" applyBorder="1" applyAlignment="1" applyProtection="1">
      <alignment horizontal="center" vertical="center" wrapText="1"/>
      <protection locked="0"/>
    </xf>
    <xf numFmtId="0" fontId="34" fillId="0" borderId="1" xfId="9" applyFont="1" applyBorder="1" applyAlignment="1" applyProtection="1">
      <alignment horizontal="center" vertical="center" wrapText="1"/>
      <protection locked="0"/>
    </xf>
    <xf numFmtId="0" fontId="0" fillId="0" borderId="0" xfId="0" applyAlignment="1">
      <alignment horizontal="left" vertical="center"/>
    </xf>
    <xf numFmtId="0" fontId="35" fillId="0" borderId="0" xfId="0" applyFont="1" applyAlignment="1">
      <alignment horizontal="left" vertical="center"/>
    </xf>
    <xf numFmtId="0" fontId="35" fillId="0" borderId="0" xfId="0" applyFont="1" applyAlignment="1">
      <alignment horizontal="right" vertical="center"/>
    </xf>
    <xf numFmtId="0" fontId="35" fillId="0" borderId="0" xfId="0" applyFont="1" applyAlignment="1">
      <alignment horizontal="left" vertical="center" wrapText="1"/>
    </xf>
    <xf numFmtId="0" fontId="35" fillId="0" borderId="0" xfId="0" applyFont="1">
      <alignment vertical="center"/>
    </xf>
    <xf numFmtId="0" fontId="36" fillId="0" borderId="14" xfId="0" applyFont="1" applyBorder="1" applyAlignment="1">
      <alignment horizontal="center" vertical="center"/>
    </xf>
    <xf numFmtId="0" fontId="36" fillId="0" borderId="14" xfId="0" applyFont="1" applyBorder="1" applyAlignment="1">
      <alignment horizontal="center" vertical="center" wrapText="1"/>
    </xf>
    <xf numFmtId="0" fontId="37" fillId="0" borderId="14" xfId="0" applyFont="1" applyBorder="1" applyAlignment="1">
      <alignment horizontal="center" vertical="center"/>
    </xf>
    <xf numFmtId="0" fontId="37" fillId="0" borderId="14" xfId="0" applyFont="1" applyBorder="1" applyAlignment="1">
      <alignment horizontal="left" vertical="center" wrapText="1"/>
    </xf>
    <xf numFmtId="0" fontId="37" fillId="0" borderId="14" xfId="0" applyFont="1" applyBorder="1" applyAlignment="1">
      <alignment horizontal="left" vertical="center"/>
    </xf>
    <xf numFmtId="0" fontId="19" fillId="0" borderId="0" xfId="0" applyFont="1">
      <alignment vertical="center"/>
    </xf>
    <xf numFmtId="0" fontId="19" fillId="0" borderId="0" xfId="16" applyFont="1" applyFill="1" applyAlignment="1">
      <alignment horizontal="center" vertical="center"/>
    </xf>
    <xf numFmtId="0" fontId="19" fillId="0" borderId="0" xfId="16" applyFont="1" applyAlignment="1">
      <alignment horizontal="center" vertical="center"/>
    </xf>
    <xf numFmtId="0" fontId="19" fillId="0" borderId="0" xfId="0" applyFont="1" applyAlignment="1">
      <alignment horizontal="center" vertical="center"/>
    </xf>
    <xf numFmtId="187" fontId="19" fillId="0" borderId="0" xfId="0" applyNumberFormat="1" applyFont="1" applyAlignment="1">
      <alignment horizontal="center" vertical="center" wrapText="1"/>
    </xf>
    <xf numFmtId="0" fontId="40" fillId="0" borderId="1" xfId="0" applyFont="1" applyBorder="1" applyAlignment="1">
      <alignment horizontal="center" vertical="center" wrapText="1"/>
    </xf>
    <xf numFmtId="0" fontId="42" fillId="0" borderId="0" xfId="16" applyFont="1" applyAlignment="1">
      <alignment horizontal="center" vertical="center"/>
    </xf>
    <xf numFmtId="0" fontId="42" fillId="0" borderId="0" xfId="16" applyFont="1" applyFill="1" applyAlignment="1">
      <alignment horizontal="center" vertical="center"/>
    </xf>
    <xf numFmtId="0" fontId="42" fillId="0" borderId="0" xfId="16" applyFont="1" applyAlignment="1">
      <alignment horizontal="center" vertical="center" wrapText="1"/>
    </xf>
    <xf numFmtId="0" fontId="46" fillId="7" borderId="1" xfId="0" applyFont="1" applyFill="1" applyBorder="1" applyAlignment="1">
      <alignment horizontal="center" vertical="center" wrapText="1"/>
    </xf>
    <xf numFmtId="0" fontId="48" fillId="8" borderId="1" xfId="0" applyFont="1" applyFill="1" applyBorder="1" applyAlignment="1">
      <alignment horizontal="center" vertical="center" wrapText="1"/>
    </xf>
    <xf numFmtId="0" fontId="48" fillId="7" borderId="1" xfId="0" applyFont="1" applyFill="1" applyBorder="1" applyAlignment="1">
      <alignment horizontal="center" vertical="center"/>
    </xf>
    <xf numFmtId="0" fontId="48" fillId="8" borderId="1" xfId="0" applyFont="1" applyFill="1" applyBorder="1" applyAlignment="1">
      <alignment horizontal="center" vertical="center"/>
    </xf>
    <xf numFmtId="0" fontId="49" fillId="0" borderId="1" xfId="0" applyFont="1" applyBorder="1" applyAlignment="1">
      <alignment horizontal="center" vertical="center"/>
    </xf>
    <xf numFmtId="1" fontId="49" fillId="8" borderId="1" xfId="0" applyNumberFormat="1" applyFont="1" applyFill="1" applyBorder="1" applyAlignment="1">
      <alignment horizontal="center" vertical="center"/>
    </xf>
    <xf numFmtId="1" fontId="49" fillId="7" borderId="1" xfId="0" applyNumberFormat="1" applyFont="1" applyFill="1" applyBorder="1" applyAlignment="1">
      <alignment horizontal="center" vertical="center"/>
    </xf>
    <xf numFmtId="0" fontId="50" fillId="0" borderId="0" xfId="0" applyFont="1" applyAlignment="1">
      <alignment horizontal="center" vertical="center" wrapText="1"/>
    </xf>
    <xf numFmtId="0" fontId="24" fillId="0" borderId="1" xfId="0" applyFont="1" applyBorder="1" applyAlignment="1" applyProtection="1">
      <alignment vertical="center" wrapText="1"/>
      <protection locked="0"/>
    </xf>
    <xf numFmtId="0" fontId="33" fillId="0" borderId="1" xfId="0" applyFont="1" applyBorder="1" applyAlignment="1" applyProtection="1">
      <alignment vertical="center" wrapText="1"/>
      <protection locked="0"/>
    </xf>
    <xf numFmtId="0" fontId="24" fillId="0" borderId="10" xfId="0" applyFont="1" applyBorder="1" applyAlignment="1">
      <alignment vertical="center" wrapText="1"/>
    </xf>
    <xf numFmtId="0" fontId="24" fillId="0" borderId="1" xfId="0" applyFont="1" applyBorder="1" applyAlignment="1">
      <alignment vertical="center" wrapText="1"/>
    </xf>
    <xf numFmtId="0" fontId="24" fillId="0" borderId="2" xfId="0" applyFont="1" applyBorder="1" applyAlignment="1">
      <alignment vertical="center" wrapText="1"/>
    </xf>
    <xf numFmtId="0" fontId="33" fillId="0" borderId="1" xfId="0" applyFont="1" applyBorder="1" applyAlignment="1">
      <alignment vertical="center" wrapText="1"/>
    </xf>
    <xf numFmtId="0" fontId="29" fillId="0" borderId="1" xfId="0" applyFont="1" applyBorder="1" applyAlignment="1">
      <alignment horizontal="center" vertical="center" wrapText="1"/>
    </xf>
    <xf numFmtId="0" fontId="29" fillId="0" borderId="1" xfId="0" applyFont="1" applyBorder="1" applyAlignment="1">
      <alignment vertical="center" wrapText="1"/>
    </xf>
    <xf numFmtId="0" fontId="54" fillId="10" borderId="1" xfId="13" applyFont="1" applyFill="1" applyBorder="1" applyAlignment="1" applyProtection="1">
      <alignment horizontal="center" vertical="center" wrapText="1"/>
      <protection locked="0"/>
    </xf>
    <xf numFmtId="0" fontId="54" fillId="10" borderId="1" xfId="0" applyFont="1" applyFill="1" applyBorder="1" applyAlignment="1">
      <alignment horizontal="center" vertical="center" wrapText="1"/>
    </xf>
    <xf numFmtId="182" fontId="54" fillId="10" borderId="1" xfId="0" applyNumberFormat="1" applyFont="1" applyFill="1" applyBorder="1" applyAlignment="1">
      <alignment horizontal="center" vertical="center" wrapText="1"/>
    </xf>
    <xf numFmtId="178" fontId="19" fillId="10" borderId="1" xfId="0" applyNumberFormat="1" applyFont="1" applyFill="1" applyBorder="1" applyAlignment="1">
      <alignment horizontal="center" vertical="center" wrapText="1"/>
    </xf>
    <xf numFmtId="9" fontId="2" fillId="10" borderId="1" xfId="0" applyNumberFormat="1" applyFont="1" applyFill="1" applyBorder="1" applyAlignment="1">
      <alignment horizontal="center" vertical="center" wrapText="1"/>
    </xf>
    <xf numFmtId="0" fontId="51" fillId="10" borderId="1" xfId="0" applyFont="1" applyFill="1" applyBorder="1" applyAlignment="1">
      <alignment horizontal="center" vertical="center" wrapText="1"/>
    </xf>
    <xf numFmtId="0" fontId="52" fillId="10" borderId="0" xfId="0" applyFont="1" applyFill="1" applyAlignment="1">
      <alignment horizontal="center" vertical="center" wrapText="1"/>
    </xf>
    <xf numFmtId="0" fontId="54" fillId="10" borderId="1" xfId="13" applyFont="1" applyFill="1" applyBorder="1" applyAlignment="1">
      <alignment horizontal="center" vertical="center" wrapText="1"/>
    </xf>
    <xf numFmtId="0" fontId="19" fillId="10" borderId="0" xfId="0" applyFont="1" applyFill="1" applyAlignment="1">
      <alignment horizontal="center" vertical="center" wrapText="1"/>
    </xf>
    <xf numFmtId="187" fontId="56" fillId="10" borderId="0" xfId="0" applyNumberFormat="1" applyFont="1" applyFill="1" applyAlignment="1">
      <alignment horizontal="center" vertical="center" wrapText="1"/>
    </xf>
    <xf numFmtId="0" fontId="53" fillId="10" borderId="0" xfId="16" applyFont="1" applyFill="1" applyBorder="1" applyAlignment="1">
      <alignment horizontal="center" vertical="center" wrapText="1"/>
    </xf>
    <xf numFmtId="187" fontId="57" fillId="10" borderId="0" xfId="0" applyNumberFormat="1" applyFont="1" applyFill="1" applyAlignment="1">
      <alignment vertical="center" wrapText="1"/>
    </xf>
    <xf numFmtId="187" fontId="57" fillId="10" borderId="0" xfId="0" applyNumberFormat="1" applyFont="1" applyFill="1" applyAlignment="1">
      <alignment horizontal="center" vertical="center" wrapText="1"/>
    </xf>
    <xf numFmtId="0" fontId="23" fillId="0" borderId="7" xfId="15" applyFont="1" applyBorder="1" applyAlignment="1" applyProtection="1">
      <alignment vertical="center" wrapText="1"/>
      <protection hidden="1"/>
    </xf>
    <xf numFmtId="0" fontId="53" fillId="10" borderId="0" xfId="0" applyFont="1" applyFill="1" applyAlignment="1">
      <alignment horizontal="center" vertical="center" wrapText="1"/>
    </xf>
    <xf numFmtId="185" fontId="53" fillId="10" borderId="0" xfId="0" applyNumberFormat="1" applyFont="1" applyFill="1" applyAlignment="1">
      <alignment horizontal="center" vertical="center" wrapText="1"/>
    </xf>
    <xf numFmtId="0" fontId="58" fillId="10" borderId="0" xfId="0" applyFont="1" applyFill="1" applyAlignment="1">
      <alignment horizontal="left" vertical="center" wrapText="1"/>
    </xf>
    <xf numFmtId="0" fontId="53" fillId="10" borderId="0" xfId="0" applyFont="1" applyFill="1" applyAlignment="1">
      <alignment horizontal="left" vertical="center" wrapText="1"/>
    </xf>
    <xf numFmtId="0" fontId="58" fillId="10" borderId="0" xfId="15" applyFont="1" applyFill="1" applyAlignment="1" applyProtection="1">
      <alignment horizontal="left" vertical="center" wrapText="1"/>
      <protection hidden="1"/>
    </xf>
    <xf numFmtId="186" fontId="55" fillId="10" borderId="0" xfId="0" applyNumberFormat="1" applyFont="1" applyFill="1" applyAlignment="1">
      <alignment horizontal="center" vertical="center" wrapText="1"/>
    </xf>
    <xf numFmtId="0" fontId="59" fillId="0" borderId="1" xfId="16" applyFont="1" applyFill="1" applyBorder="1" applyAlignment="1">
      <alignment horizontal="center" vertical="center" wrapText="1"/>
    </xf>
    <xf numFmtId="0" fontId="23" fillId="0" borderId="5" xfId="15" applyFont="1" applyBorder="1" applyAlignment="1" applyProtection="1">
      <alignment horizontal="center" vertical="center" wrapText="1"/>
      <protection hidden="1"/>
    </xf>
    <xf numFmtId="0" fontId="29" fillId="10" borderId="5" xfId="15" applyFont="1" applyFill="1" applyBorder="1" applyAlignment="1" applyProtection="1">
      <alignment horizontal="left" vertical="center" wrapText="1"/>
      <protection locked="0"/>
    </xf>
    <xf numFmtId="0" fontId="28" fillId="10" borderId="5" xfId="15" applyFont="1" applyFill="1" applyBorder="1" applyAlignment="1" applyProtection="1">
      <alignment horizontal="left" vertical="center" wrapText="1"/>
      <protection locked="0"/>
    </xf>
    <xf numFmtId="0" fontId="18" fillId="0" borderId="1" xfId="15" applyFont="1" applyBorder="1" applyAlignment="1" applyProtection="1">
      <alignment horizontal="left" vertical="center" wrapText="1"/>
      <protection locked="0"/>
    </xf>
    <xf numFmtId="0" fontId="28" fillId="0" borderId="1" xfId="15" applyFont="1" applyBorder="1" applyAlignment="1" applyProtection="1">
      <alignment horizontal="left" vertical="center" wrapText="1"/>
      <protection hidden="1"/>
    </xf>
    <xf numFmtId="0" fontId="54" fillId="0" borderId="2" xfId="15" applyFont="1" applyBorder="1" applyAlignment="1" applyProtection="1">
      <alignment horizontal="left" vertical="center" wrapText="1"/>
      <protection locked="0"/>
    </xf>
    <xf numFmtId="185" fontId="18" fillId="0" borderId="1" xfId="15" applyNumberFormat="1" applyFont="1" applyBorder="1" applyAlignment="1" applyProtection="1">
      <alignment horizontal="center" vertical="center"/>
      <protection hidden="1"/>
    </xf>
    <xf numFmtId="0" fontId="18" fillId="0" borderId="1" xfId="15" applyFont="1" applyBorder="1" applyAlignment="1" applyProtection="1">
      <alignment vertical="center" wrapText="1"/>
      <protection locked="0"/>
    </xf>
    <xf numFmtId="0" fontId="18" fillId="0" borderId="1" xfId="15" applyFont="1" applyBorder="1" applyAlignment="1" applyProtection="1">
      <alignment horizontal="center" vertical="center" wrapText="1"/>
      <protection locked="0"/>
    </xf>
    <xf numFmtId="49" fontId="50" fillId="0" borderId="1" xfId="0" applyNumberFormat="1" applyFont="1" applyBorder="1" applyAlignment="1">
      <alignment horizontal="center" vertical="center" wrapText="1"/>
    </xf>
    <xf numFmtId="0" fontId="18" fillId="10" borderId="1" xfId="0" applyFont="1" applyFill="1" applyBorder="1" applyAlignment="1" applyProtection="1">
      <alignment horizontal="center" vertical="center" wrapText="1"/>
      <protection locked="0"/>
    </xf>
    <xf numFmtId="0" fontId="50" fillId="10" borderId="0" xfId="0" applyFont="1" applyFill="1" applyAlignment="1">
      <alignment horizontal="center" vertical="center" wrapText="1"/>
    </xf>
    <xf numFmtId="0" fontId="18" fillId="10" borderId="1" xfId="0" applyFont="1" applyFill="1" applyBorder="1" applyAlignment="1">
      <alignment horizontal="center" vertical="center" wrapText="1"/>
    </xf>
    <xf numFmtId="185" fontId="18" fillId="10" borderId="1" xfId="0" applyNumberFormat="1" applyFont="1" applyFill="1" applyBorder="1" applyAlignment="1" applyProtection="1">
      <alignment horizontal="center" vertical="center" wrapText="1"/>
      <protection locked="0"/>
    </xf>
    <xf numFmtId="0" fontId="18" fillId="10" borderId="1" xfId="15" applyFont="1" applyFill="1" applyBorder="1" applyAlignment="1" applyProtection="1">
      <alignment horizontal="center" vertical="center"/>
      <protection locked="0"/>
    </xf>
    <xf numFmtId="182" fontId="18" fillId="10" borderId="1" xfId="0" applyNumberFormat="1" applyFont="1" applyFill="1" applyBorder="1" applyAlignment="1" applyProtection="1">
      <alignment horizontal="center" vertical="center" wrapText="1"/>
      <protection locked="0"/>
    </xf>
    <xf numFmtId="0" fontId="54" fillId="10" borderId="1" xfId="15" applyFont="1" applyFill="1" applyBorder="1" applyAlignment="1" applyProtection="1">
      <alignment horizontal="center" vertical="center"/>
      <protection locked="0"/>
    </xf>
    <xf numFmtId="0" fontId="60" fillId="10" borderId="1" xfId="0" applyFont="1" applyFill="1" applyBorder="1" applyAlignment="1" applyProtection="1">
      <alignment horizontal="center" vertical="center" wrapText="1"/>
      <protection locked="0"/>
    </xf>
    <xf numFmtId="9" fontId="61" fillId="10" borderId="1" xfId="0" applyNumberFormat="1" applyFont="1" applyFill="1" applyBorder="1" applyAlignment="1">
      <alignment horizontal="center" vertical="center" wrapText="1"/>
    </xf>
    <xf numFmtId="0" fontId="61" fillId="10" borderId="1" xfId="0" applyFont="1" applyFill="1" applyBorder="1" applyAlignment="1" applyProtection="1">
      <alignment horizontal="center" vertical="center" wrapText="1"/>
      <protection locked="0"/>
    </xf>
    <xf numFmtId="0" fontId="61" fillId="10" borderId="1" xfId="0" applyFont="1" applyFill="1" applyBorder="1" applyAlignment="1" applyProtection="1">
      <alignment horizontal="center" vertical="center"/>
      <protection locked="0"/>
    </xf>
    <xf numFmtId="0" fontId="61" fillId="10" borderId="1" xfId="15" applyFont="1" applyFill="1" applyBorder="1" applyAlignment="1" applyProtection="1">
      <alignment vertical="center" wrapText="1"/>
      <protection hidden="1"/>
    </xf>
    <xf numFmtId="0" fontId="62" fillId="10" borderId="0" xfId="0" applyFont="1" applyFill="1" applyAlignment="1">
      <alignment horizontal="center" vertical="center" wrapText="1"/>
    </xf>
    <xf numFmtId="0" fontId="50" fillId="0" borderId="1" xfId="0" applyFont="1" applyBorder="1" applyAlignment="1">
      <alignment vertical="center" wrapText="1"/>
    </xf>
    <xf numFmtId="0" fontId="23" fillId="0" borderId="1" xfId="15" applyFont="1" applyBorder="1" applyAlignment="1" applyProtection="1">
      <alignment vertical="center" wrapText="1"/>
      <protection hidden="1"/>
    </xf>
    <xf numFmtId="185" fontId="18" fillId="0" borderId="1" xfId="0" applyNumberFormat="1" applyFont="1" applyBorder="1" applyAlignment="1">
      <alignment horizontal="center" vertical="center" wrapText="1"/>
    </xf>
    <xf numFmtId="0" fontId="61" fillId="10" borderId="1" xfId="0" applyFont="1" applyFill="1" applyBorder="1" applyAlignment="1">
      <alignment horizontal="center" vertical="center" wrapText="1"/>
    </xf>
    <xf numFmtId="0" fontId="23" fillId="0" borderId="11" xfId="0" applyFont="1" applyBorder="1" applyAlignment="1" applyProtection="1">
      <alignment vertical="center" wrapText="1"/>
      <protection hidden="1"/>
    </xf>
    <xf numFmtId="185" fontId="54" fillId="0" borderId="1" xfId="15" applyNumberFormat="1" applyFont="1" applyBorder="1" applyAlignment="1" applyProtection="1">
      <alignment horizontal="center" vertical="center"/>
      <protection hidden="1"/>
    </xf>
    <xf numFmtId="0" fontId="64" fillId="0" borderId="1" xfId="0" applyFont="1" applyBorder="1" applyAlignment="1">
      <alignment horizontal="center" vertical="center" wrapText="1"/>
    </xf>
    <xf numFmtId="0" fontId="40" fillId="9" borderId="1" xfId="0" applyFont="1" applyFill="1" applyBorder="1" applyAlignment="1">
      <alignment horizontal="center" vertical="center" wrapText="1"/>
    </xf>
    <xf numFmtId="0" fontId="28" fillId="0" borderId="0" xfId="0" applyFont="1" applyAlignment="1">
      <alignment horizontal="center" vertical="center"/>
    </xf>
    <xf numFmtId="0" fontId="63" fillId="0" borderId="0" xfId="0" applyFont="1" applyAlignment="1">
      <alignment horizontal="right" vertical="center"/>
    </xf>
    <xf numFmtId="0" fontId="20" fillId="10" borderId="0" xfId="0" applyFont="1" applyFill="1" applyAlignment="1">
      <alignment horizontal="center" vertical="center" wrapText="1"/>
    </xf>
    <xf numFmtId="0" fontId="20" fillId="10" borderId="0" xfId="0" applyFont="1" applyFill="1" applyAlignment="1">
      <alignment horizontal="left" vertical="center" wrapText="1"/>
    </xf>
    <xf numFmtId="186" fontId="19" fillId="10" borderId="0" xfId="0" applyNumberFormat="1" applyFont="1" applyFill="1" applyAlignment="1">
      <alignment horizontal="center" vertical="center" wrapText="1"/>
    </xf>
    <xf numFmtId="0" fontId="66" fillId="9" borderId="1" xfId="0" applyFont="1" applyFill="1" applyBorder="1" applyAlignment="1">
      <alignment horizontal="center" vertical="center" wrapText="1"/>
    </xf>
    <xf numFmtId="0" fontId="66" fillId="5" borderId="1" xfId="0" applyFont="1" applyFill="1" applyBorder="1" applyAlignment="1">
      <alignment horizontal="center" vertical="center" wrapText="1"/>
    </xf>
    <xf numFmtId="0" fontId="67" fillId="0" borderId="0" xfId="0" applyFont="1" applyAlignment="1">
      <alignment horizontal="center" vertical="center"/>
    </xf>
    <xf numFmtId="9" fontId="67" fillId="0" borderId="0" xfId="0" applyNumberFormat="1" applyFont="1" applyAlignment="1">
      <alignment horizontal="center" vertical="center"/>
    </xf>
    <xf numFmtId="9" fontId="68" fillId="0" borderId="0" xfId="0" applyNumberFormat="1" applyFont="1" applyAlignment="1">
      <alignment horizontal="center" vertical="center"/>
    </xf>
    <xf numFmtId="0" fontId="23" fillId="0" borderId="7" xfId="15" applyFont="1" applyBorder="1" applyAlignment="1" applyProtection="1">
      <alignment horizontal="left" vertical="center"/>
      <protection hidden="1"/>
    </xf>
    <xf numFmtId="0" fontId="61" fillId="10" borderId="7" xfId="13" applyFont="1" applyFill="1" applyBorder="1" applyAlignment="1" applyProtection="1">
      <alignment horizontal="center" vertical="center" wrapText="1"/>
      <protection locked="0"/>
    </xf>
    <xf numFmtId="0" fontId="54" fillId="10" borderId="7" xfId="13" applyFont="1" applyFill="1" applyBorder="1" applyAlignment="1">
      <alignment horizontal="center" vertical="center" wrapText="1"/>
    </xf>
    <xf numFmtId="0" fontId="23" fillId="0" borderId="7" xfId="13" applyFont="1" applyBorder="1" applyAlignment="1" applyProtection="1">
      <alignment horizontal="left" vertical="center" wrapText="1"/>
      <protection locked="0"/>
    </xf>
    <xf numFmtId="0" fontId="54" fillId="10" borderId="7" xfId="13" applyFont="1" applyFill="1" applyBorder="1" applyAlignment="1" applyProtection="1">
      <alignment horizontal="center" vertical="center" wrapText="1"/>
      <protection locked="0"/>
    </xf>
    <xf numFmtId="0" fontId="58" fillId="10" borderId="5" xfId="15" applyFont="1" applyFill="1" applyBorder="1" applyAlignment="1" applyProtection="1">
      <alignment horizontal="left" vertical="center" wrapText="1"/>
      <protection hidden="1"/>
    </xf>
    <xf numFmtId="186" fontId="53" fillId="10" borderId="5" xfId="0" applyNumberFormat="1" applyFont="1" applyFill="1" applyBorder="1" applyAlignment="1">
      <alignment horizontal="center" vertical="center" wrapText="1"/>
    </xf>
    <xf numFmtId="0" fontId="53" fillId="10" borderId="5" xfId="0" applyFont="1" applyFill="1" applyBorder="1" applyAlignment="1">
      <alignment horizontal="center" vertical="center" wrapText="1"/>
    </xf>
    <xf numFmtId="0" fontId="30" fillId="0" borderId="0" xfId="0" applyFont="1" applyAlignment="1">
      <alignment horizontal="center" vertical="center" wrapText="1"/>
    </xf>
    <xf numFmtId="14" fontId="33" fillId="0" borderId="1" xfId="0" applyNumberFormat="1" applyFont="1" applyBorder="1" applyAlignment="1" applyProtection="1">
      <alignment vertical="center" wrapText="1"/>
      <protection locked="0"/>
    </xf>
    <xf numFmtId="177" fontId="2" fillId="10" borderId="1" xfId="0" applyNumberFormat="1" applyFont="1" applyFill="1" applyBorder="1" applyAlignment="1">
      <alignment vertical="center" wrapText="1"/>
    </xf>
    <xf numFmtId="182" fontId="69" fillId="0" borderId="1" xfId="0" applyNumberFormat="1" applyFont="1" applyBorder="1" applyAlignment="1" applyProtection="1">
      <alignment horizontal="center" vertical="center" wrapText="1"/>
      <protection locked="0"/>
    </xf>
    <xf numFmtId="0" fontId="69" fillId="0" borderId="1" xfId="0" applyFont="1" applyBorder="1" applyAlignment="1" applyProtection="1">
      <alignment horizontal="center" vertical="center" wrapText="1"/>
      <protection locked="0"/>
    </xf>
    <xf numFmtId="14" fontId="33" fillId="0" borderId="1" xfId="0" applyNumberFormat="1" applyFont="1" applyBorder="1" applyAlignment="1" applyProtection="1">
      <alignment horizontal="center" vertical="center" wrapText="1"/>
      <protection locked="0"/>
    </xf>
    <xf numFmtId="0" fontId="69" fillId="0" borderId="7" xfId="0" applyFont="1" applyBorder="1" applyAlignment="1" applyProtection="1">
      <alignment horizontal="center" vertical="center" wrapText="1"/>
      <protection locked="0"/>
    </xf>
    <xf numFmtId="0" fontId="26" fillId="0" borderId="1" xfId="0" applyFont="1" applyBorder="1" applyAlignment="1" applyProtection="1">
      <alignment vertical="center" wrapText="1"/>
      <protection locked="0"/>
    </xf>
    <xf numFmtId="0" fontId="24" fillId="0" borderId="0" xfId="0" applyFont="1" applyAlignment="1" applyProtection="1">
      <alignment vertical="center" wrapText="1"/>
      <protection locked="0"/>
    </xf>
    <xf numFmtId="49" fontId="28" fillId="0" borderId="0" xfId="0" applyNumberFormat="1" applyFont="1" applyAlignment="1" applyProtection="1">
      <alignment horizontal="center" vertical="center" wrapText="1"/>
      <protection locked="0"/>
    </xf>
    <xf numFmtId="49" fontId="18" fillId="0" borderId="0" xfId="0" applyNumberFormat="1" applyFont="1" applyAlignment="1" applyProtection="1">
      <alignment horizontal="center" vertical="center" wrapText="1"/>
      <protection locked="0"/>
    </xf>
    <xf numFmtId="180" fontId="18" fillId="0" borderId="0" xfId="0" applyNumberFormat="1" applyFont="1" applyAlignment="1" applyProtection="1">
      <alignment horizontal="center" vertical="center" wrapText="1"/>
      <protection locked="0"/>
    </xf>
    <xf numFmtId="0" fontId="30" fillId="0" borderId="0" xfId="0" applyFont="1" applyAlignment="1">
      <alignment vertical="center" wrapText="1"/>
    </xf>
    <xf numFmtId="0" fontId="29" fillId="0" borderId="0" xfId="0" applyFont="1" applyAlignment="1" applyProtection="1">
      <alignment vertical="center" wrapText="1"/>
      <protection locked="0"/>
    </xf>
    <xf numFmtId="177" fontId="2" fillId="10" borderId="1" xfId="0" applyNumberFormat="1" applyFont="1" applyFill="1" applyBorder="1" applyAlignment="1">
      <alignment horizontal="center" vertical="center" wrapText="1"/>
    </xf>
    <xf numFmtId="0" fontId="19" fillId="0" borderId="0" xfId="0" applyFont="1" applyAlignment="1">
      <alignment horizontal="center" vertical="center"/>
    </xf>
    <xf numFmtId="0" fontId="37" fillId="0" borderId="14" xfId="0" applyFont="1" applyBorder="1" applyAlignment="1">
      <alignment horizontal="left" vertical="center"/>
    </xf>
    <xf numFmtId="0" fontId="35" fillId="0" borderId="0" xfId="0" applyFont="1" applyAlignment="1">
      <alignment horizontal="left" vertical="center"/>
    </xf>
    <xf numFmtId="0" fontId="38" fillId="0" borderId="0" xfId="0" applyFont="1" applyAlignment="1">
      <alignment horizontal="center" vertical="center" wrapText="1"/>
    </xf>
    <xf numFmtId="0" fontId="38" fillId="0" borderId="0" xfId="0" applyFont="1" applyAlignment="1">
      <alignment horizontal="center" vertical="center"/>
    </xf>
    <xf numFmtId="0" fontId="35" fillId="0" borderId="0" xfId="0" applyFont="1" applyAlignment="1">
      <alignment horizontal="right" vertical="center"/>
    </xf>
    <xf numFmtId="0" fontId="36" fillId="0" borderId="14" xfId="0" applyFont="1" applyBorder="1" applyAlignment="1">
      <alignment horizontal="center" vertical="center"/>
    </xf>
    <xf numFmtId="0" fontId="37" fillId="0" borderId="13" xfId="0" applyFont="1" applyBorder="1" applyAlignment="1">
      <alignment horizontal="left" vertical="center"/>
    </xf>
    <xf numFmtId="0" fontId="37" fillId="0" borderId="12" xfId="0" applyFont="1" applyBorder="1" applyAlignment="1">
      <alignment horizontal="left" vertical="center"/>
    </xf>
    <xf numFmtId="186" fontId="43" fillId="0" borderId="0" xfId="0" applyNumberFormat="1" applyFont="1" applyAlignment="1">
      <alignment horizontal="right" vertical="center" wrapText="1"/>
    </xf>
    <xf numFmtId="0" fontId="45" fillId="0" borderId="15" xfId="0" applyFont="1" applyBorder="1" applyAlignment="1">
      <alignment horizontal="center"/>
    </xf>
    <xf numFmtId="0" fontId="45" fillId="0" borderId="9" xfId="0" applyFont="1" applyBorder="1" applyAlignment="1">
      <alignment horizontal="center"/>
    </xf>
    <xf numFmtId="0" fontId="43" fillId="0" borderId="0" xfId="0" applyFont="1" applyAlignment="1">
      <alignment horizontal="left" vertical="distributed" wrapText="1"/>
    </xf>
    <xf numFmtId="0" fontId="44" fillId="0" borderId="0" xfId="0" applyFont="1" applyAlignment="1">
      <alignment horizontal="left" vertical="center" wrapText="1"/>
    </xf>
    <xf numFmtId="0" fontId="41" fillId="0" borderId="0" xfId="0" applyFont="1" applyAlignment="1">
      <alignment horizontal="center" vertical="center" wrapText="1"/>
    </xf>
    <xf numFmtId="0" fontId="43" fillId="0" borderId="0" xfId="0" applyFont="1" applyAlignment="1">
      <alignment horizontal="right" vertical="center" wrapText="1"/>
    </xf>
    <xf numFmtId="0" fontId="28" fillId="0" borderId="1" xfId="0" applyFont="1" applyBorder="1" applyAlignment="1">
      <alignment horizontal="center" vertical="center" wrapText="1"/>
    </xf>
    <xf numFmtId="177" fontId="2" fillId="0" borderId="1" xfId="2" applyNumberFormat="1" applyFont="1" applyBorder="1" applyAlignment="1">
      <alignment horizontal="center" vertical="center" wrapText="1"/>
    </xf>
    <xf numFmtId="0" fontId="29" fillId="0" borderId="1" xfId="0" applyFont="1" applyBorder="1" applyAlignment="1">
      <alignment horizontal="center" vertical="center" wrapText="1"/>
    </xf>
    <xf numFmtId="0" fontId="30" fillId="0" borderId="9"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2" xfId="0" applyFont="1" applyBorder="1" applyAlignment="1">
      <alignment horizontal="center" vertical="center" wrapText="1"/>
    </xf>
    <xf numFmtId="0" fontId="29" fillId="0" borderId="4" xfId="0" applyFont="1" applyBorder="1" applyAlignment="1">
      <alignment horizontal="center" vertical="center" wrapText="1"/>
    </xf>
    <xf numFmtId="0" fontId="31" fillId="0" borderId="1" xfId="2" applyFont="1" applyBorder="1" applyAlignment="1">
      <alignment wrapText="1"/>
    </xf>
    <xf numFmtId="0" fontId="2" fillId="0" borderId="1" xfId="2" applyFont="1" applyBorder="1" applyAlignment="1">
      <alignment horizontal="center" vertical="center" wrapText="1"/>
    </xf>
    <xf numFmtId="0" fontId="2" fillId="0" borderId="2" xfId="2" applyFont="1" applyBorder="1" applyAlignment="1">
      <alignment horizontal="center" vertical="center" wrapText="1"/>
    </xf>
    <xf numFmtId="0" fontId="2" fillId="0" borderId="4" xfId="2" applyFont="1" applyBorder="1" applyAlignment="1">
      <alignment horizontal="center" vertical="center" wrapText="1"/>
    </xf>
    <xf numFmtId="10" fontId="2" fillId="0" borderId="1" xfId="2" applyNumberFormat="1" applyFont="1" applyBorder="1" applyAlignment="1">
      <alignment horizontal="center" vertical="center" wrapText="1"/>
    </xf>
    <xf numFmtId="179" fontId="18" fillId="0" borderId="1" xfId="2" applyNumberFormat="1" applyFont="1" applyBorder="1" applyAlignment="1" applyProtection="1">
      <alignment horizontal="center" vertical="center" wrapText="1"/>
      <protection locked="0"/>
    </xf>
    <xf numFmtId="9" fontId="18" fillId="3" borderId="1" xfId="2" applyNumberFormat="1" applyFont="1" applyFill="1" applyBorder="1" applyAlignment="1" applyProtection="1">
      <alignment horizontal="center" vertical="center" wrapText="1"/>
      <protection locked="0"/>
    </xf>
    <xf numFmtId="0" fontId="30" fillId="0" borderId="0" xfId="0" applyFont="1" applyAlignment="1">
      <alignment horizontal="center" vertical="center" wrapText="1"/>
    </xf>
    <xf numFmtId="177" fontId="2" fillId="0" borderId="2" xfId="2" applyNumberFormat="1" applyFont="1" applyBorder="1" applyAlignment="1">
      <alignment horizontal="center" vertical="center" wrapText="1"/>
    </xf>
    <xf numFmtId="177" fontId="2" fillId="0" borderId="3" xfId="2" applyNumberFormat="1" applyFont="1" applyBorder="1" applyAlignment="1">
      <alignment horizontal="center" vertical="center" wrapText="1"/>
    </xf>
    <xf numFmtId="177" fontId="2" fillId="0" borderId="4" xfId="2" applyNumberFormat="1" applyFont="1" applyBorder="1" applyAlignment="1">
      <alignment horizontal="center" vertical="center" wrapText="1"/>
    </xf>
    <xf numFmtId="178" fontId="2" fillId="0" borderId="2" xfId="2" applyNumberFormat="1" applyFont="1" applyBorder="1" applyAlignment="1">
      <alignment horizontal="center" vertical="center" wrapText="1"/>
    </xf>
    <xf numFmtId="178" fontId="2" fillId="0" borderId="4" xfId="2" applyNumberFormat="1" applyFont="1" applyBorder="1" applyAlignment="1">
      <alignment horizontal="center" vertical="center" wrapText="1"/>
    </xf>
    <xf numFmtId="0" fontId="29" fillId="11" borderId="0" xfId="0" applyFont="1" applyFill="1" applyAlignment="1">
      <alignment horizontal="left" vertical="center" wrapText="1"/>
    </xf>
    <xf numFmtId="0" fontId="26" fillId="0" borderId="1" xfId="0" applyFont="1" applyBorder="1" applyAlignment="1" applyProtection="1">
      <alignment horizontal="center" vertical="center" wrapText="1"/>
      <protection locked="0"/>
    </xf>
    <xf numFmtId="0" fontId="26" fillId="0" borderId="1" xfId="9" applyFont="1" applyBorder="1" applyAlignment="1" applyProtection="1">
      <alignment horizontal="center" vertical="center" wrapText="1"/>
      <protection locked="0"/>
    </xf>
    <xf numFmtId="0" fontId="29" fillId="0" borderId="9" xfId="0" applyFont="1" applyBorder="1" applyAlignment="1" applyProtection="1">
      <alignment horizontal="center" vertical="center" wrapText="1"/>
      <protection locked="0"/>
    </xf>
    <xf numFmtId="0" fontId="23" fillId="11" borderId="5" xfId="15" applyFont="1" applyFill="1" applyBorder="1" applyAlignment="1" applyProtection="1">
      <alignment horizontal="left" vertical="center"/>
      <protection hidden="1"/>
    </xf>
    <xf numFmtId="0" fontId="19" fillId="0" borderId="1" xfId="16" applyFont="1" applyFill="1" applyBorder="1" applyAlignment="1">
      <alignment horizontal="center" vertical="center" wrapText="1"/>
    </xf>
    <xf numFmtId="0" fontId="23" fillId="0" borderId="7" xfId="15" applyFont="1" applyBorder="1" applyAlignment="1" applyProtection="1">
      <alignment horizontal="center" vertical="center" wrapText="1"/>
      <protection hidden="1"/>
    </xf>
    <xf numFmtId="0" fontId="23" fillId="0" borderId="8" xfId="15" applyFont="1" applyBorder="1" applyAlignment="1" applyProtection="1">
      <alignment horizontal="center" vertical="center" wrapText="1"/>
      <protection hidden="1"/>
    </xf>
    <xf numFmtId="0" fontId="23" fillId="0" borderId="6" xfId="15" applyFont="1" applyBorder="1" applyAlignment="1" applyProtection="1">
      <alignment horizontal="center" vertical="center" wrapText="1"/>
      <protection hidden="1"/>
    </xf>
    <xf numFmtId="0" fontId="61" fillId="10" borderId="2" xfId="13" applyFont="1" applyFill="1" applyBorder="1" applyAlignment="1" applyProtection="1">
      <alignment horizontal="left" vertical="center" wrapText="1"/>
      <protection locked="0"/>
    </xf>
    <xf numFmtId="0" fontId="61" fillId="10" borderId="3" xfId="13" applyFont="1" applyFill="1" applyBorder="1" applyAlignment="1" applyProtection="1">
      <alignment horizontal="left" vertical="center" wrapText="1"/>
      <protection locked="0"/>
    </xf>
    <xf numFmtId="0" fontId="61" fillId="10" borderId="4" xfId="13" applyFont="1" applyFill="1" applyBorder="1" applyAlignment="1" applyProtection="1">
      <alignment horizontal="left" vertical="center" wrapText="1"/>
      <protection locked="0"/>
    </xf>
    <xf numFmtId="0" fontId="54" fillId="10" borderId="2" xfId="15" applyFont="1" applyFill="1" applyBorder="1" applyAlignment="1" applyProtection="1">
      <alignment horizontal="left" vertical="center" wrapText="1"/>
      <protection hidden="1"/>
    </xf>
    <xf numFmtId="0" fontId="54" fillId="10" borderId="4" xfId="15" applyFont="1" applyFill="1" applyBorder="1" applyAlignment="1" applyProtection="1">
      <alignment horizontal="left" vertical="center" wrapText="1"/>
      <protection hidden="1"/>
    </xf>
    <xf numFmtId="0" fontId="28" fillId="0" borderId="2" xfId="15" applyFont="1" applyBorder="1" applyAlignment="1" applyProtection="1">
      <alignment horizontal="left" vertical="center" wrapText="1"/>
      <protection hidden="1"/>
    </xf>
    <xf numFmtId="0" fontId="28" fillId="0" borderId="3" xfId="15" applyFont="1" applyBorder="1" applyAlignment="1" applyProtection="1">
      <alignment horizontal="left" vertical="center" wrapText="1"/>
      <protection hidden="1"/>
    </xf>
    <xf numFmtId="0" fontId="28" fillId="0" borderId="4" xfId="15" applyFont="1" applyBorder="1" applyAlignment="1" applyProtection="1">
      <alignment horizontal="left" vertical="center" wrapText="1"/>
      <protection hidden="1"/>
    </xf>
    <xf numFmtId="0" fontId="61" fillId="10" borderId="2" xfId="15" applyFont="1" applyFill="1" applyBorder="1" applyAlignment="1" applyProtection="1">
      <alignment horizontal="left" vertical="center" wrapText="1"/>
      <protection hidden="1"/>
    </xf>
    <xf numFmtId="0" fontId="61" fillId="10" borderId="3" xfId="15" applyFont="1" applyFill="1" applyBorder="1" applyAlignment="1" applyProtection="1">
      <alignment horizontal="left" vertical="center" wrapText="1"/>
      <protection hidden="1"/>
    </xf>
    <xf numFmtId="0" fontId="61" fillId="10" borderId="4" xfId="15" applyFont="1" applyFill="1" applyBorder="1" applyAlignment="1" applyProtection="1">
      <alignment horizontal="left" vertical="center" wrapText="1"/>
      <protection hidden="1"/>
    </xf>
    <xf numFmtId="0" fontId="54" fillId="0" borderId="2" xfId="15" applyFont="1" applyBorder="1" applyAlignment="1" applyProtection="1">
      <alignment horizontal="left" vertical="center" wrapText="1"/>
      <protection hidden="1"/>
    </xf>
    <xf numFmtId="0" fontId="54" fillId="0" borderId="3" xfId="15" applyFont="1" applyBorder="1" applyAlignment="1" applyProtection="1">
      <alignment horizontal="left" vertical="center" wrapText="1"/>
      <protection hidden="1"/>
    </xf>
    <xf numFmtId="0" fontId="54" fillId="0" borderId="4" xfId="15" applyFont="1" applyBorder="1" applyAlignment="1" applyProtection="1">
      <alignment horizontal="left" vertical="center" wrapText="1"/>
      <protection hidden="1"/>
    </xf>
    <xf numFmtId="185" fontId="61" fillId="10" borderId="7" xfId="0" applyNumberFormat="1" applyFont="1" applyFill="1" applyBorder="1" applyAlignment="1" applyProtection="1">
      <alignment horizontal="left" vertical="center" wrapText="1"/>
      <protection locked="0"/>
    </xf>
    <xf numFmtId="0" fontId="23" fillId="0" borderId="1" xfId="15" applyFont="1" applyBorder="1" applyAlignment="1" applyProtection="1">
      <alignment horizontal="center" vertical="center" wrapText="1"/>
      <protection hidden="1"/>
    </xf>
    <xf numFmtId="0" fontId="24" fillId="0" borderId="1" xfId="9" applyFont="1" applyBorder="1" applyAlignment="1">
      <alignment horizontal="center" vertical="center" wrapText="1"/>
    </xf>
    <xf numFmtId="0" fontId="26" fillId="0" borderId="7" xfId="0" applyFont="1" applyBorder="1" applyAlignment="1" applyProtection="1">
      <alignment horizontal="center" vertical="center" wrapText="1"/>
      <protection locked="0"/>
    </xf>
    <xf numFmtId="0" fontId="26" fillId="0" borderId="8" xfId="0" applyFont="1" applyBorder="1" applyAlignment="1" applyProtection="1">
      <alignment horizontal="center" vertical="center" wrapText="1"/>
      <protection locked="0"/>
    </xf>
    <xf numFmtId="0" fontId="26" fillId="0" borderId="6" xfId="0" applyFont="1" applyBorder="1" applyAlignment="1" applyProtection="1">
      <alignment horizontal="center" vertical="center" wrapText="1"/>
      <protection locked="0"/>
    </xf>
    <xf numFmtId="0" fontId="34" fillId="0" borderId="1" xfId="9" applyFont="1" applyBorder="1" applyAlignment="1" applyProtection="1">
      <alignment horizontal="center" vertical="center" wrapText="1"/>
      <protection locked="0"/>
    </xf>
    <xf numFmtId="0" fontId="18" fillId="0" borderId="1" xfId="0" applyFont="1" applyBorder="1" applyAlignment="1">
      <alignment horizontal="center" vertical="center" wrapText="1"/>
    </xf>
    <xf numFmtId="0" fontId="18" fillId="0" borderId="2" xfId="15" applyFont="1" applyBorder="1" applyAlignment="1" applyProtection="1">
      <alignment horizontal="left" vertical="center" wrapText="1"/>
      <protection locked="0"/>
    </xf>
    <xf numFmtId="0" fontId="18" fillId="0" borderId="4" xfId="15" applyFont="1" applyBorder="1" applyAlignment="1" applyProtection="1">
      <alignment horizontal="left" vertical="center" wrapText="1"/>
      <protection locked="0"/>
    </xf>
    <xf numFmtId="0" fontId="54" fillId="0" borderId="2" xfId="15" applyFont="1" applyBorder="1" applyAlignment="1" applyProtection="1">
      <alignment horizontal="left" vertical="center" wrapText="1"/>
      <protection locked="0"/>
    </xf>
    <xf numFmtId="0" fontId="54" fillId="0" borderId="3" xfId="15" applyFont="1" applyBorder="1" applyAlignment="1" applyProtection="1">
      <alignment horizontal="left" vertical="center" wrapText="1"/>
      <protection locked="0"/>
    </xf>
    <xf numFmtId="0" fontId="54" fillId="0" borderId="4" xfId="15" applyFont="1" applyBorder="1" applyAlignment="1" applyProtection="1">
      <alignment horizontal="left" vertical="center" wrapText="1"/>
      <protection locked="0"/>
    </xf>
    <xf numFmtId="0" fontId="18" fillId="10" borderId="2" xfId="15" applyFont="1" applyFill="1" applyBorder="1" applyAlignment="1" applyProtection="1">
      <alignment horizontal="center" vertical="center"/>
      <protection locked="0"/>
    </xf>
    <xf numFmtId="0" fontId="18" fillId="10" borderId="3" xfId="15" applyFont="1" applyFill="1" applyBorder="1" applyAlignment="1" applyProtection="1">
      <alignment horizontal="center" vertical="center"/>
      <protection locked="0"/>
    </xf>
    <xf numFmtId="0" fontId="18" fillId="10" borderId="4" xfId="15" applyFont="1" applyFill="1" applyBorder="1" applyAlignment="1" applyProtection="1">
      <alignment horizontal="center" vertical="center"/>
      <protection locked="0"/>
    </xf>
    <xf numFmtId="0" fontId="18" fillId="10" borderId="1" xfId="15" applyFont="1" applyFill="1" applyBorder="1" applyAlignment="1" applyProtection="1">
      <alignment horizontal="center" vertical="center"/>
      <protection locked="0"/>
    </xf>
    <xf numFmtId="0" fontId="18" fillId="0" borderId="3" xfId="15" applyFont="1" applyBorder="1" applyAlignment="1" applyProtection="1">
      <alignment horizontal="left" vertical="center" wrapText="1"/>
      <protection locked="0"/>
    </xf>
    <xf numFmtId="0" fontId="61" fillId="0" borderId="2" xfId="15" applyFont="1" applyBorder="1" applyAlignment="1" applyProtection="1">
      <alignment horizontal="left" vertical="center" wrapText="1"/>
      <protection locked="0"/>
    </xf>
    <xf numFmtId="0" fontId="61" fillId="0" borderId="3" xfId="15" applyFont="1" applyBorder="1" applyAlignment="1" applyProtection="1">
      <alignment horizontal="left" vertical="center" wrapText="1"/>
      <protection locked="0"/>
    </xf>
    <xf numFmtId="0" fontId="61" fillId="0" borderId="4" xfId="15" applyFont="1" applyBorder="1" applyAlignment="1" applyProtection="1">
      <alignment horizontal="left" vertical="center" wrapText="1"/>
      <protection locked="0"/>
    </xf>
    <xf numFmtId="0" fontId="18" fillId="0" borderId="2" xfId="15" applyFont="1" applyBorder="1" applyAlignment="1" applyProtection="1">
      <alignment horizontal="left" vertical="center" wrapText="1"/>
      <protection hidden="1"/>
    </xf>
    <xf numFmtId="0" fontId="54" fillId="10" borderId="2" xfId="15" applyFont="1" applyFill="1" applyBorder="1" applyAlignment="1" applyProtection="1">
      <alignment horizontal="left" vertical="center" wrapText="1"/>
      <protection locked="0"/>
    </xf>
    <xf numFmtId="0" fontId="54" fillId="10" borderId="3" xfId="15" applyFont="1" applyFill="1" applyBorder="1" applyAlignment="1" applyProtection="1">
      <alignment horizontal="left" vertical="center" wrapText="1"/>
      <protection locked="0"/>
    </xf>
    <xf numFmtId="0" fontId="54" fillId="10" borderId="4" xfId="15" applyFont="1" applyFill="1" applyBorder="1" applyAlignment="1" applyProtection="1">
      <alignment horizontal="left" vertical="center" wrapText="1"/>
      <protection locked="0"/>
    </xf>
    <xf numFmtId="0" fontId="2" fillId="10" borderId="1" xfId="0" applyFont="1" applyFill="1" applyBorder="1" applyAlignment="1">
      <alignment horizontal="center" vertical="center" wrapText="1"/>
    </xf>
    <xf numFmtId="0" fontId="27" fillId="0" borderId="9" xfId="0" applyFont="1" applyBorder="1" applyAlignment="1" applyProtection="1">
      <alignment horizontal="center" vertical="center" wrapText="1"/>
      <protection locked="0"/>
    </xf>
    <xf numFmtId="0" fontId="23" fillId="11" borderId="0" xfId="15" applyFont="1" applyFill="1" applyAlignment="1" applyProtection="1">
      <alignment horizontal="left" vertical="center"/>
      <protection hidden="1"/>
    </xf>
    <xf numFmtId="0" fontId="40" fillId="0" borderId="1" xfId="0" applyFont="1" applyBorder="1" applyAlignment="1">
      <alignment horizontal="center" vertical="center" wrapText="1"/>
    </xf>
    <xf numFmtId="0" fontId="65" fillId="0" borderId="0" xfId="0" applyFont="1" applyAlignment="1">
      <alignment horizontal="center" vertical="center"/>
    </xf>
    <xf numFmtId="0" fontId="28" fillId="0" borderId="0" xfId="0" applyFont="1" applyAlignment="1">
      <alignment horizontal="left" vertical="center"/>
    </xf>
    <xf numFmtId="0" fontId="28" fillId="0" borderId="5" xfId="0" applyFont="1" applyBorder="1" applyAlignment="1">
      <alignment horizontal="right" vertical="center"/>
    </xf>
    <xf numFmtId="0" fontId="28" fillId="0" borderId="0" xfId="0" applyFont="1" applyAlignment="1">
      <alignment horizontal="right" vertical="center"/>
    </xf>
    <xf numFmtId="177" fontId="1" fillId="0" borderId="0" xfId="6" applyNumberFormat="1" applyFont="1" applyAlignment="1">
      <alignment horizontal="center" vertical="center" wrapText="1"/>
    </xf>
    <xf numFmtId="0" fontId="9" fillId="0" borderId="0" xfId="12" applyFont="1" applyAlignment="1">
      <alignment horizontal="center" vertical="center"/>
    </xf>
    <xf numFmtId="177" fontId="1" fillId="0" borderId="2" xfId="2" applyNumberFormat="1" applyFont="1" applyBorder="1" applyAlignment="1">
      <alignment horizontal="center" vertical="center" wrapText="1"/>
    </xf>
    <xf numFmtId="177" fontId="1" fillId="0" borderId="3" xfId="2" applyNumberFormat="1" applyFont="1" applyBorder="1" applyAlignment="1">
      <alignment horizontal="center" vertical="center" wrapText="1"/>
    </xf>
    <xf numFmtId="177" fontId="1" fillId="0" borderId="4" xfId="2" applyNumberFormat="1" applyFont="1" applyBorder="1" applyAlignment="1">
      <alignment horizontal="center" vertical="center" wrapText="1"/>
    </xf>
    <xf numFmtId="0" fontId="9" fillId="0" borderId="1" xfId="12" applyFont="1" applyBorder="1" applyAlignment="1">
      <alignment horizontal="center" vertical="center"/>
    </xf>
    <xf numFmtId="177" fontId="1" fillId="0" borderId="1" xfId="2" applyNumberFormat="1" applyFont="1" applyBorder="1" applyAlignment="1">
      <alignment horizontal="center" vertical="center" wrapText="1"/>
    </xf>
    <xf numFmtId="178" fontId="1" fillId="0" borderId="2" xfId="2" applyNumberFormat="1" applyFont="1" applyBorder="1" applyAlignment="1">
      <alignment horizontal="center" vertical="center" wrapText="1"/>
    </xf>
    <xf numFmtId="178" fontId="1" fillId="0" borderId="4" xfId="2" applyNumberFormat="1" applyFont="1" applyBorder="1" applyAlignment="1">
      <alignment horizontal="center" vertical="center" wrapText="1"/>
    </xf>
    <xf numFmtId="0" fontId="9" fillId="0" borderId="2" xfId="12" applyFont="1" applyBorder="1" applyAlignment="1">
      <alignment horizontal="center" vertical="center"/>
    </xf>
    <xf numFmtId="0" fontId="1" fillId="0" borderId="2" xfId="2" applyFont="1" applyBorder="1" applyAlignment="1">
      <alignment horizontal="center" vertical="center" wrapText="1"/>
    </xf>
    <xf numFmtId="0" fontId="1" fillId="0" borderId="4" xfId="2" applyFont="1" applyBorder="1" applyAlignment="1">
      <alignment horizontal="center" vertical="center" wrapText="1"/>
    </xf>
    <xf numFmtId="10" fontId="1" fillId="0" borderId="1" xfId="2" applyNumberFormat="1" applyFont="1" applyBorder="1" applyAlignment="1">
      <alignment horizontal="center" vertical="center" wrapText="1"/>
    </xf>
    <xf numFmtId="0" fontId="9" fillId="0" borderId="1" xfId="12" applyFont="1" applyFill="1" applyBorder="1" applyAlignment="1">
      <alignment horizontal="center" vertical="center" wrapText="1"/>
    </xf>
    <xf numFmtId="0" fontId="1" fillId="0" borderId="1" xfId="2" applyFont="1" applyBorder="1" applyAlignment="1">
      <alignment horizontal="center" vertical="center" wrapText="1"/>
    </xf>
    <xf numFmtId="0" fontId="3" fillId="0" borderId="1" xfId="2" applyFont="1" applyBorder="1" applyAlignment="1"/>
    <xf numFmtId="0" fontId="5" fillId="0" borderId="5" xfId="0" applyFont="1" applyBorder="1" applyAlignment="1">
      <alignment horizontal="center" vertical="center"/>
    </xf>
    <xf numFmtId="0" fontId="9" fillId="0" borderId="1" xfId="9" applyFont="1" applyBorder="1" applyAlignment="1">
      <alignment horizontal="center" vertical="center"/>
    </xf>
    <xf numFmtId="0" fontId="9" fillId="0" borderId="2" xfId="9" applyFont="1" applyBorder="1" applyAlignment="1">
      <alignment horizontal="center" vertical="center"/>
    </xf>
    <xf numFmtId="0" fontId="9" fillId="0" borderId="4" xfId="9" applyFont="1" applyBorder="1" applyAlignment="1">
      <alignment horizontal="center" vertical="center"/>
    </xf>
    <xf numFmtId="0" fontId="9" fillId="0" borderId="3" xfId="9" applyFont="1" applyBorder="1" applyAlignment="1">
      <alignment horizontal="center" vertical="center"/>
    </xf>
    <xf numFmtId="0" fontId="9" fillId="0" borderId="7" xfId="12" applyFont="1" applyBorder="1" applyAlignment="1">
      <alignment horizontal="center" vertical="center" wrapText="1"/>
    </xf>
    <xf numFmtId="0" fontId="9" fillId="0" borderId="8" xfId="12" applyFont="1" applyBorder="1" applyAlignment="1">
      <alignment horizontal="center" vertical="center" wrapText="1"/>
    </xf>
    <xf numFmtId="0" fontId="9" fillId="0" borderId="6" xfId="12" applyFont="1" applyBorder="1" applyAlignment="1">
      <alignment horizontal="center" vertical="center" wrapText="1"/>
    </xf>
    <xf numFmtId="0" fontId="9" fillId="0" borderId="7" xfId="9" applyFont="1" applyBorder="1" applyAlignment="1">
      <alignment horizontal="center" vertical="center" wrapText="1"/>
    </xf>
    <xf numFmtId="0" fontId="9" fillId="0" borderId="8" xfId="9" applyFont="1" applyBorder="1" applyAlignment="1">
      <alignment horizontal="center" vertical="center" wrapText="1"/>
    </xf>
    <xf numFmtId="0" fontId="9" fillId="0" borderId="6" xfId="9" applyFont="1" applyBorder="1" applyAlignment="1">
      <alignment horizontal="center" vertical="center" wrapText="1"/>
    </xf>
    <xf numFmtId="0" fontId="24" fillId="0" borderId="0" xfId="0" applyFont="1" applyBorder="1" applyAlignment="1" applyProtection="1">
      <alignment horizontal="center" vertical="center" wrapText="1"/>
      <protection locked="0"/>
    </xf>
    <xf numFmtId="0" fontId="24" fillId="0" borderId="0" xfId="9" applyFont="1" applyBorder="1" applyAlignment="1">
      <alignment horizontal="center" vertical="center" wrapText="1"/>
    </xf>
    <xf numFmtId="0" fontId="24" fillId="0" borderId="0" xfId="0" applyFont="1" applyBorder="1" applyAlignment="1">
      <alignment horizontal="center" vertical="center" wrapText="1"/>
    </xf>
    <xf numFmtId="0" fontId="26" fillId="0" borderId="0" xfId="0" applyFont="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6" xfId="0" applyFont="1" applyBorder="1" applyAlignment="1">
      <alignment horizontal="center" vertical="center" wrapText="1"/>
    </xf>
    <xf numFmtId="0" fontId="70" fillId="0" borderId="1" xfId="0" applyFont="1" applyBorder="1" applyAlignment="1">
      <alignment horizontal="center" vertical="center" wrapText="1"/>
    </xf>
    <xf numFmtId="0" fontId="70" fillId="0" borderId="1" xfId="0" applyFont="1" applyBorder="1" applyAlignment="1">
      <alignment horizontal="center" wrapText="1"/>
    </xf>
    <xf numFmtId="49" fontId="70" fillId="0" borderId="1" xfId="0" applyNumberFormat="1" applyFont="1" applyBorder="1" applyAlignment="1">
      <alignment horizontal="center" vertical="center" wrapText="1"/>
    </xf>
    <xf numFmtId="0" fontId="30" fillId="0" borderId="9" xfId="0" applyFont="1" applyBorder="1" applyAlignment="1" applyProtection="1">
      <alignment horizontal="center" vertical="center" wrapText="1"/>
      <protection locked="0"/>
    </xf>
  </cellXfs>
  <cellStyles count="17">
    <cellStyle name="百分比 2 2 2" xfId="5" xr:uid="{00000000-0005-0000-0000-000000000000}"/>
    <cellStyle name="百分比 2 2 2 2" xfId="8" xr:uid="{00000000-0005-0000-0000-000001000000}"/>
    <cellStyle name="常规" xfId="0" builtinId="0"/>
    <cellStyle name="常规 2" xfId="9" xr:uid="{00000000-0005-0000-0000-000003000000}"/>
    <cellStyle name="常规 2 2" xfId="7" xr:uid="{00000000-0005-0000-0000-000004000000}"/>
    <cellStyle name="常规 3" xfId="10" xr:uid="{00000000-0005-0000-0000-000005000000}"/>
    <cellStyle name="常规 3 2" xfId="6" xr:uid="{00000000-0005-0000-0000-000006000000}"/>
    <cellStyle name="常规 3 2 2" xfId="2" xr:uid="{00000000-0005-0000-0000-000007000000}"/>
    <cellStyle name="常规 4" xfId="12" xr:uid="{00000000-0005-0000-0000-000008000000}"/>
    <cellStyle name="常规 5" xfId="13" xr:uid="{00000000-0005-0000-0000-000009000000}"/>
    <cellStyle name="常规 6" xfId="1" xr:uid="{00000000-0005-0000-0000-00000A000000}"/>
    <cellStyle name="常规 6 2" xfId="3" xr:uid="{00000000-0005-0000-0000-00000B000000}"/>
    <cellStyle name="常规 9" xfId="4" xr:uid="{00000000-0005-0000-0000-00000C000000}"/>
    <cellStyle name="常规_100820房地产押品价值评估操作模板-仁达修改" xfId="15" xr:uid="{00000000-0005-0000-0000-00000D000000}"/>
    <cellStyle name="常规_Sheet1" xfId="14" xr:uid="{00000000-0005-0000-0000-00000E000000}"/>
    <cellStyle name="超链接" xfId="16" builtinId="8"/>
    <cellStyle name="千位分隔 2" xfId="11" xr:uid="{00000000-0005-0000-0000-000010000000}"/>
  </cellStyles>
  <dxfs count="18">
    <dxf>
      <fill>
        <patternFill>
          <bgColor rgb="FF00B0F0"/>
        </patternFill>
      </fill>
    </dxf>
    <dxf>
      <fill>
        <patternFill>
          <bgColor rgb="FFFF0000"/>
        </patternFill>
      </fill>
    </dxf>
    <dxf>
      <fill>
        <patternFill>
          <bgColor rgb="FF00B0F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fgColor rgb="FFFF0000"/>
          <bgColor rgb="FFFF0000"/>
        </patternFill>
      </fill>
    </dxf>
    <dxf>
      <font>
        <b val="0"/>
        <condense val="0"/>
        <extend val="0"/>
        <color indexed="43"/>
      </font>
      <fill>
        <patternFill patternType="solid">
          <bgColor indexed="43"/>
        </patternFill>
      </fill>
    </dxf>
    <dxf>
      <font>
        <b val="0"/>
        <condense val="0"/>
        <extend val="0"/>
        <color indexed="9"/>
      </font>
      <fill>
        <patternFill patternType="solid">
          <bgColor indexed="9"/>
        </patternFill>
      </fill>
    </dxf>
    <dxf>
      <fill>
        <patternFill>
          <fgColor rgb="FFFF0000"/>
          <bgColor rgb="FFFF0000"/>
        </patternFill>
      </fill>
    </dxf>
    <dxf>
      <fill>
        <patternFill>
          <fgColor rgb="FFFF0000"/>
          <bgColor rgb="FFFF0000"/>
        </patternFill>
      </fill>
    </dxf>
    <dxf>
      <fill>
        <patternFill>
          <fgColor rgb="FFFF0000"/>
          <bgColor rgb="FFFF0000"/>
        </patternFill>
      </fill>
    </dxf>
    <dxf>
      <fill>
        <patternFill patternType="solid">
          <bgColor theme="0"/>
        </patternFill>
      </fill>
    </dxf>
    <dxf>
      <fill>
        <patternFill patternType="solid">
          <bgColor theme="1" tint="0.34998626667073579"/>
        </patternFill>
      </fill>
    </dxf>
    <dxf>
      <fill>
        <patternFill patternType="solid">
          <bgColor theme="0"/>
        </patternFill>
      </fill>
    </dxf>
  </dxfs>
  <tableStyles count="0" defaultTableStyle="TableStyleMedium2"/>
  <colors>
    <mruColors>
      <color rgb="FF36AAF7"/>
      <color rgb="FF84A5E8"/>
      <color rgb="FFC71773"/>
      <color rgb="FFE8B4B0"/>
      <color rgb="FF00FF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6368;&#21518;&#24324;&#26469;&#23436;&#21892;&#30340;&#34920;&#26684;/&#24066;&#22330;&#27861;%20&#25910;&#30410;&#27861;&#38134;&#34892;&#21457;.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rd888\H\1&#35780;&#20272;&#37096;&#20849;&#20139;\2025&#24180;&#39044;&#35780;&#20272;\250863-&#37325;&#24198;&#24066;&#21335;&#23736;&#21306;&#27743;&#36814;&#36335;11&#38468;3&#21495;&#31561;&#20849;&#35745;5&#22788;-&#26446;&#20013;&#25964;\0569&#25253;&#21578;\&#25216;&#26415;&#25253;&#21578;\0569&#27979;&#31639;&#34920;.xlsx" TargetMode="External"/><Relationship Id="rId1" Type="http://schemas.openxmlformats.org/officeDocument/2006/relationships/externalLinkPath" Target="file:///\\rd888\H\1&#35780;&#20272;&#37096;&#20849;&#20139;\2025&#24180;&#39044;&#35780;&#20272;\250863-&#37325;&#24198;&#24066;&#21335;&#23736;&#21306;&#27743;&#36814;&#36335;11&#38468;3&#21495;&#31561;&#20849;&#35745;5&#22788;-&#26446;&#20013;&#25964;\0569&#25253;&#21578;\&#25216;&#26415;&#25253;&#21578;\0569&#27979;&#31639;&#349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d888\h\1&#35780;&#20272;&#37096;&#20849;&#20139;\2024&#24180;&#36164;&#20135;&#35780;&#20272;&#39033;&#30446;\017-240421-&#20301;&#20110;&#27743;&#21271;&#21306;&#32418;&#30722;&#30875;26&#21495;&#31561;9&#22788;&#20849;126&#22871;&#25151;&#22320;&#20135;&#35780;&#20272;-&#24052;&#21335;&#24314;&#35774;&#38598;&#22242;-&#24352;&#20426;\8&#28189;&#21271;\&#27979;&#31639;&#34920;&#65288;&#25910;&#30410;&#27861;&#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商铺、商场和其他商业用房市场法&amp;收益法"/>
      <sheetName val="序列表"/>
    </sheetNames>
    <sheetDataSet>
      <sheetData sheetId="0"/>
      <sheetData sheetId="1">
        <row r="2">
          <cell r="I2"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预评工作表"/>
      <sheetName val="估价结果明细表"/>
      <sheetName val="案例说明表"/>
      <sheetName val="比较法"/>
      <sheetName val="收益法（带有租金比较）"/>
      <sheetName val="收益法"/>
      <sheetName val="变现能力"/>
      <sheetName val="租金"/>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汇总"/>
      <sheetName val="收益法"/>
      <sheetName val="租金"/>
      <sheetName val="建筑物测算"/>
      <sheetName val="建筑物重置价"/>
    </sheetNames>
    <sheetDataSet>
      <sheetData sheetId="0"/>
      <sheetData sheetId="1">
        <row r="21">
          <cell r="J21">
            <v>29.56</v>
          </cell>
        </row>
      </sheetData>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4"/>
  <sheetViews>
    <sheetView zoomScale="295" zoomScaleNormal="295" workbookViewId="0">
      <selection activeCell="D5" sqref="D5"/>
    </sheetView>
  </sheetViews>
  <sheetFormatPr defaultRowHeight="13.5" x14ac:dyDescent="0.15"/>
  <cols>
    <col min="1" max="1" width="9" style="125"/>
    <col min="2" max="2" width="14" style="125" customWidth="1"/>
    <col min="3" max="16384" width="9" style="125"/>
  </cols>
  <sheetData>
    <row r="1" spans="1:3" x14ac:dyDescent="0.15">
      <c r="A1" s="235" t="s">
        <v>394</v>
      </c>
      <c r="B1" s="235" t="s">
        <v>397</v>
      </c>
      <c r="C1" s="126" t="s">
        <v>395</v>
      </c>
    </row>
    <row r="2" spans="1:3" x14ac:dyDescent="0.15">
      <c r="A2" s="235"/>
      <c r="B2" s="235"/>
      <c r="C2" s="127" t="s">
        <v>396</v>
      </c>
    </row>
    <row r="3" spans="1:3" x14ac:dyDescent="0.15">
      <c r="B3" s="128" t="s">
        <v>484</v>
      </c>
      <c r="C3" s="127" t="s">
        <v>411</v>
      </c>
    </row>
    <row r="4" spans="1:3" x14ac:dyDescent="0.15">
      <c r="C4" s="127" t="s">
        <v>426</v>
      </c>
    </row>
  </sheetData>
  <mergeCells count="2">
    <mergeCell ref="B1:B2"/>
    <mergeCell ref="A1:A2"/>
  </mergeCells>
  <phoneticPr fontId="39" type="noConversion"/>
  <hyperlinks>
    <hyperlink ref="C1" location="司法归档目录!A1" display="司法" xr:uid="{00000000-0004-0000-0000-000000000000}"/>
    <hyperlink ref="C2" location="档案目录!A1" display="其他" xr:uid="{00000000-0004-0000-0000-000001000000}"/>
    <hyperlink ref="C3" location="收费涵!A1" display="收费函" xr:uid="{00000000-0004-0000-0000-000002000000}"/>
    <hyperlink ref="C4" location="测算表!A1" display="测算表"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F36"/>
  <sheetViews>
    <sheetView view="pageBreakPreview" zoomScale="175" zoomScaleNormal="145" zoomScaleSheetLayoutView="175" workbookViewId="0">
      <selection activeCell="F1" sqref="F1"/>
    </sheetView>
  </sheetViews>
  <sheetFormatPr defaultRowHeight="13.5" x14ac:dyDescent="0.15"/>
  <cols>
    <col min="3" max="3" width="42.875" customWidth="1"/>
    <col min="4" max="4" width="11.25" customWidth="1"/>
    <col min="5" max="5" width="9.75" customWidth="1"/>
  </cols>
  <sheetData>
    <row r="1" spans="1:6" ht="41.25" customHeight="1" x14ac:dyDescent="0.15">
      <c r="A1" s="238" t="s">
        <v>371</v>
      </c>
      <c r="B1" s="239"/>
      <c r="C1" s="239"/>
      <c r="D1" s="239"/>
      <c r="E1" s="239"/>
      <c r="F1" s="131" t="s">
        <v>413</v>
      </c>
    </row>
    <row r="2" spans="1:6" x14ac:dyDescent="0.15">
      <c r="A2" s="237" t="str">
        <f>"项目名称：位于"&amp;测算表!B20&amp;"房地产的市场价值进行了评估鉴定。"</f>
        <v>项目名称：位于渝中区长江一路79号15-1、15-6#房地产的市场价值进行了评估鉴定。</v>
      </c>
      <c r="B2" s="237"/>
      <c r="C2" s="237"/>
      <c r="D2" s="237"/>
      <c r="E2" s="237"/>
      <c r="F2" s="115"/>
    </row>
    <row r="3" spans="1:6" x14ac:dyDescent="0.15">
      <c r="A3" s="237" t="str">
        <f>"报告编号："&amp;测算表!B13</f>
        <v>报告编号：渝瑞达房评〔2024〕司字第212号</v>
      </c>
      <c r="B3" s="237"/>
      <c r="C3" s="237"/>
      <c r="D3" s="237"/>
      <c r="E3" s="237"/>
      <c r="F3" s="119"/>
    </row>
    <row r="4" spans="1:6" ht="20.25" customHeight="1" thickBot="1" x14ac:dyDescent="0.2">
      <c r="A4" s="237" t="s">
        <v>369</v>
      </c>
      <c r="B4" s="237"/>
      <c r="C4" s="119"/>
      <c r="D4" s="240" t="s">
        <v>473</v>
      </c>
      <c r="E4" s="240"/>
      <c r="F4" s="119"/>
    </row>
    <row r="5" spans="1:6" ht="32.25" customHeight="1" thickBot="1" x14ac:dyDescent="0.2">
      <c r="A5" s="120" t="s">
        <v>334</v>
      </c>
      <c r="B5" s="241" t="s">
        <v>335</v>
      </c>
      <c r="C5" s="241"/>
      <c r="D5" s="121" t="s">
        <v>393</v>
      </c>
      <c r="E5" s="120" t="s">
        <v>336</v>
      </c>
    </row>
    <row r="6" spans="1:6" ht="21" customHeight="1" thickBot="1" x14ac:dyDescent="0.2">
      <c r="A6" s="122"/>
      <c r="B6" s="241" t="s">
        <v>337</v>
      </c>
      <c r="C6" s="241"/>
      <c r="D6" s="123"/>
      <c r="E6" s="124"/>
    </row>
    <row r="7" spans="1:6" ht="21" customHeight="1" thickBot="1" x14ac:dyDescent="0.2">
      <c r="A7" s="122">
        <v>1</v>
      </c>
      <c r="B7" s="236" t="s">
        <v>338</v>
      </c>
      <c r="C7" s="236"/>
      <c r="D7" s="123"/>
      <c r="E7" s="124"/>
    </row>
    <row r="8" spans="1:6" ht="21" customHeight="1" thickBot="1" x14ac:dyDescent="0.2">
      <c r="A8" s="122">
        <v>2</v>
      </c>
      <c r="B8" s="236" t="s">
        <v>339</v>
      </c>
      <c r="C8" s="236"/>
      <c r="D8" s="123"/>
      <c r="E8" s="124"/>
    </row>
    <row r="9" spans="1:6" ht="21" customHeight="1" thickBot="1" x14ac:dyDescent="0.2">
      <c r="A9" s="122">
        <v>3</v>
      </c>
      <c r="B9" s="236" t="s">
        <v>340</v>
      </c>
      <c r="C9" s="236"/>
      <c r="D9" s="123"/>
      <c r="E9" s="124"/>
    </row>
    <row r="10" spans="1:6" ht="21" customHeight="1" thickBot="1" x14ac:dyDescent="0.2">
      <c r="A10" s="122">
        <v>4</v>
      </c>
      <c r="B10" s="236" t="s">
        <v>341</v>
      </c>
      <c r="C10" s="236"/>
      <c r="D10" s="123"/>
      <c r="E10" s="124"/>
    </row>
    <row r="11" spans="1:6" ht="21" customHeight="1" thickBot="1" x14ac:dyDescent="0.2">
      <c r="A11" s="122">
        <v>5</v>
      </c>
      <c r="B11" s="236" t="s">
        <v>342</v>
      </c>
      <c r="C11" s="236"/>
      <c r="D11" s="123"/>
      <c r="E11" s="124"/>
    </row>
    <row r="12" spans="1:6" ht="21" customHeight="1" thickBot="1" x14ac:dyDescent="0.2">
      <c r="A12" s="122">
        <v>6</v>
      </c>
      <c r="B12" s="236" t="s">
        <v>343</v>
      </c>
      <c r="C12" s="236"/>
      <c r="D12" s="123"/>
      <c r="E12" s="124"/>
    </row>
    <row r="13" spans="1:6" ht="21" customHeight="1" thickBot="1" x14ac:dyDescent="0.2">
      <c r="A13" s="122">
        <v>7</v>
      </c>
      <c r="B13" s="236" t="s">
        <v>344</v>
      </c>
      <c r="C13" s="236"/>
      <c r="D13" s="123"/>
      <c r="E13" s="124"/>
    </row>
    <row r="14" spans="1:6" ht="21" customHeight="1" thickBot="1" x14ac:dyDescent="0.2">
      <c r="A14" s="122">
        <v>8</v>
      </c>
      <c r="B14" s="236" t="s">
        <v>345</v>
      </c>
      <c r="C14" s="236"/>
      <c r="D14" s="123"/>
      <c r="E14" s="124"/>
    </row>
    <row r="15" spans="1:6" ht="21" customHeight="1" thickBot="1" x14ac:dyDescent="0.2">
      <c r="A15" s="122">
        <v>9</v>
      </c>
      <c r="B15" s="236" t="s">
        <v>346</v>
      </c>
      <c r="C15" s="236"/>
      <c r="D15" s="123"/>
      <c r="E15" s="124"/>
    </row>
    <row r="16" spans="1:6" ht="21" customHeight="1" thickBot="1" x14ac:dyDescent="0.2">
      <c r="A16" s="122"/>
      <c r="B16" s="241" t="s">
        <v>347</v>
      </c>
      <c r="C16" s="241"/>
      <c r="D16" s="123"/>
      <c r="E16" s="124"/>
    </row>
    <row r="17" spans="1:5" ht="21" customHeight="1" thickBot="1" x14ac:dyDescent="0.2">
      <c r="A17" s="122">
        <v>10</v>
      </c>
      <c r="B17" s="236" t="s">
        <v>348</v>
      </c>
      <c r="C17" s="236"/>
      <c r="D17" s="123"/>
      <c r="E17" s="124"/>
    </row>
    <row r="18" spans="1:5" ht="21" customHeight="1" thickBot="1" x14ac:dyDescent="0.2">
      <c r="A18" s="122">
        <v>11</v>
      </c>
      <c r="B18" s="236" t="s">
        <v>349</v>
      </c>
      <c r="C18" s="236"/>
      <c r="D18" s="123"/>
      <c r="E18" s="124"/>
    </row>
    <row r="19" spans="1:5" ht="21" customHeight="1" thickBot="1" x14ac:dyDescent="0.2">
      <c r="A19" s="122">
        <v>12</v>
      </c>
      <c r="B19" s="236" t="s">
        <v>350</v>
      </c>
      <c r="C19" s="236"/>
      <c r="D19" s="123"/>
      <c r="E19" s="124"/>
    </row>
    <row r="20" spans="1:5" ht="21" customHeight="1" thickBot="1" x14ac:dyDescent="0.2">
      <c r="A20" s="122">
        <v>13</v>
      </c>
      <c r="B20" s="236" t="s">
        <v>351</v>
      </c>
      <c r="C20" s="236"/>
      <c r="D20" s="123"/>
      <c r="E20" s="124"/>
    </row>
    <row r="21" spans="1:5" ht="21" customHeight="1" thickBot="1" x14ac:dyDescent="0.2">
      <c r="A21" s="122">
        <v>14</v>
      </c>
      <c r="B21" s="236" t="s">
        <v>352</v>
      </c>
      <c r="C21" s="236"/>
      <c r="D21" s="123"/>
      <c r="E21" s="124"/>
    </row>
    <row r="22" spans="1:5" ht="21" customHeight="1" thickBot="1" x14ac:dyDescent="0.2">
      <c r="A22" s="122">
        <v>15</v>
      </c>
      <c r="B22" s="236" t="s">
        <v>353</v>
      </c>
      <c r="C22" s="236"/>
      <c r="D22" s="123"/>
      <c r="E22" s="124"/>
    </row>
    <row r="23" spans="1:5" ht="21" customHeight="1" thickBot="1" x14ac:dyDescent="0.2">
      <c r="A23" s="122">
        <v>16</v>
      </c>
      <c r="B23" s="236" t="s">
        <v>354</v>
      </c>
      <c r="C23" s="236"/>
      <c r="D23" s="123"/>
      <c r="E23" s="124"/>
    </row>
    <row r="24" spans="1:5" ht="21" customHeight="1" thickBot="1" x14ac:dyDescent="0.2">
      <c r="A24" s="122">
        <v>17</v>
      </c>
      <c r="B24" s="236" t="s">
        <v>355</v>
      </c>
      <c r="C24" s="236"/>
      <c r="D24" s="123"/>
      <c r="E24" s="124"/>
    </row>
    <row r="25" spans="1:5" ht="21" customHeight="1" thickBot="1" x14ac:dyDescent="0.2">
      <c r="A25" s="122">
        <v>18</v>
      </c>
      <c r="B25" s="236" t="s">
        <v>356</v>
      </c>
      <c r="C25" s="236"/>
      <c r="D25" s="123"/>
      <c r="E25" s="124"/>
    </row>
    <row r="26" spans="1:5" ht="21" customHeight="1" thickBot="1" x14ac:dyDescent="0.2">
      <c r="A26" s="122">
        <v>19</v>
      </c>
      <c r="B26" s="236" t="s">
        <v>346</v>
      </c>
      <c r="C26" s="236"/>
      <c r="D26" s="123"/>
      <c r="E26" s="124"/>
    </row>
    <row r="27" spans="1:5" ht="21" customHeight="1" thickBot="1" x14ac:dyDescent="0.2">
      <c r="A27" s="122"/>
      <c r="B27" s="241" t="s">
        <v>357</v>
      </c>
      <c r="C27" s="241"/>
      <c r="D27" s="123"/>
      <c r="E27" s="124"/>
    </row>
    <row r="28" spans="1:5" ht="21" customHeight="1" thickBot="1" x14ac:dyDescent="0.2">
      <c r="A28" s="122">
        <v>20</v>
      </c>
      <c r="B28" s="236" t="s">
        <v>358</v>
      </c>
      <c r="C28" s="236"/>
      <c r="D28" s="123"/>
      <c r="E28" s="124"/>
    </row>
    <row r="29" spans="1:5" ht="21" customHeight="1" thickBot="1" x14ac:dyDescent="0.2">
      <c r="A29" s="122">
        <v>21</v>
      </c>
      <c r="B29" s="236" t="s">
        <v>359</v>
      </c>
      <c r="C29" s="236"/>
      <c r="D29" s="123"/>
      <c r="E29" s="124"/>
    </row>
    <row r="30" spans="1:5" ht="21" customHeight="1" thickBot="1" x14ac:dyDescent="0.2">
      <c r="A30" s="122">
        <v>22</v>
      </c>
      <c r="B30" s="236" t="s">
        <v>360</v>
      </c>
      <c r="C30" s="236"/>
      <c r="D30" s="123"/>
      <c r="E30" s="124"/>
    </row>
    <row r="31" spans="1:5" ht="21" customHeight="1" thickBot="1" x14ac:dyDescent="0.2">
      <c r="A31" s="122">
        <v>23</v>
      </c>
      <c r="B31" s="236" t="s">
        <v>361</v>
      </c>
      <c r="C31" s="236"/>
      <c r="D31" s="123"/>
      <c r="E31" s="124"/>
    </row>
    <row r="32" spans="1:5" ht="21" customHeight="1" thickBot="1" x14ac:dyDescent="0.2">
      <c r="A32" s="122">
        <v>24</v>
      </c>
      <c r="B32" s="236" t="s">
        <v>362</v>
      </c>
      <c r="C32" s="236"/>
      <c r="D32" s="123"/>
      <c r="E32" s="124"/>
    </row>
    <row r="33" spans="1:5" ht="21" customHeight="1" thickBot="1" x14ac:dyDescent="0.2">
      <c r="A33" s="122">
        <v>25</v>
      </c>
      <c r="B33" s="236" t="s">
        <v>346</v>
      </c>
      <c r="C33" s="236"/>
      <c r="D33" s="123"/>
      <c r="E33" s="124"/>
    </row>
    <row r="34" spans="1:5" x14ac:dyDescent="0.15">
      <c r="A34" s="237" t="s">
        <v>363</v>
      </c>
      <c r="B34" s="237"/>
      <c r="C34" s="117" t="s">
        <v>364</v>
      </c>
      <c r="D34" s="118"/>
      <c r="E34" s="116"/>
    </row>
    <row r="35" spans="1:5" x14ac:dyDescent="0.15">
      <c r="A35" s="237" t="s">
        <v>365</v>
      </c>
      <c r="B35" s="237"/>
      <c r="C35" s="117" t="s">
        <v>366</v>
      </c>
      <c r="D35" s="118"/>
      <c r="E35" s="116"/>
    </row>
    <row r="36" spans="1:5" x14ac:dyDescent="0.15">
      <c r="A36" s="237" t="s">
        <v>367</v>
      </c>
      <c r="B36" s="237"/>
      <c r="C36" s="117" t="s">
        <v>368</v>
      </c>
      <c r="D36" s="118"/>
      <c r="E36" s="116"/>
    </row>
  </sheetData>
  <mergeCells count="37">
    <mergeCell ref="B5:C5"/>
    <mergeCell ref="B6:C6"/>
    <mergeCell ref="B7:C7"/>
    <mergeCell ref="B8:C8"/>
    <mergeCell ref="B20:C20"/>
    <mergeCell ref="B9:C9"/>
    <mergeCell ref="B10:C10"/>
    <mergeCell ref="B11:C11"/>
    <mergeCell ref="B12:C12"/>
    <mergeCell ref="B13:C13"/>
    <mergeCell ref="B14:C14"/>
    <mergeCell ref="B15:C15"/>
    <mergeCell ref="B16:C16"/>
    <mergeCell ref="B17:C17"/>
    <mergeCell ref="B18:C18"/>
    <mergeCell ref="B19:C19"/>
    <mergeCell ref="B22:C22"/>
    <mergeCell ref="B23:C23"/>
    <mergeCell ref="B24:C24"/>
    <mergeCell ref="B25:C25"/>
    <mergeCell ref="B26:C26"/>
    <mergeCell ref="B33:C33"/>
    <mergeCell ref="A34:B34"/>
    <mergeCell ref="A35:B35"/>
    <mergeCell ref="A36:B36"/>
    <mergeCell ref="A1:E1"/>
    <mergeCell ref="A2:E2"/>
    <mergeCell ref="A3:E3"/>
    <mergeCell ref="A4:B4"/>
    <mergeCell ref="D4:E4"/>
    <mergeCell ref="B27:C27"/>
    <mergeCell ref="B28:C28"/>
    <mergeCell ref="B29:C29"/>
    <mergeCell ref="B30:C30"/>
    <mergeCell ref="B31:C31"/>
    <mergeCell ref="B32:C32"/>
    <mergeCell ref="B21:C21"/>
  </mergeCells>
  <phoneticPr fontId="17" type="noConversion"/>
  <hyperlinks>
    <hyperlink ref="F1" location="封面!A1" display="返回" xr:uid="{00000000-0004-0000-0100-000000000000}"/>
  </hyperlinks>
  <pageMargins left="0.78740157480314965" right="0.78740157480314965" top="0.74803149606299213"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34"/>
  <sheetViews>
    <sheetView view="pageBreakPreview" zoomScale="145" zoomScaleNormal="115" zoomScaleSheetLayoutView="145" workbookViewId="0">
      <selection activeCell="A3" sqref="A3:E3"/>
    </sheetView>
  </sheetViews>
  <sheetFormatPr defaultRowHeight="13.5" x14ac:dyDescent="0.15"/>
  <cols>
    <col min="2" max="2" width="20" customWidth="1"/>
    <col min="3" max="3" width="36.375" customWidth="1"/>
    <col min="4" max="4" width="11.25" customWidth="1"/>
    <col min="5" max="5" width="9.75" customWidth="1"/>
  </cols>
  <sheetData>
    <row r="1" spans="1:6" ht="52.5" customHeight="1" x14ac:dyDescent="0.15">
      <c r="A1" s="238" t="s">
        <v>372</v>
      </c>
      <c r="B1" s="239"/>
      <c r="C1" s="239"/>
      <c r="D1" s="239"/>
      <c r="E1" s="239"/>
      <c r="F1" s="132" t="s">
        <v>412</v>
      </c>
    </row>
    <row r="2" spans="1:6" x14ac:dyDescent="0.15">
      <c r="A2" s="237" t="s">
        <v>472</v>
      </c>
      <c r="B2" s="237"/>
      <c r="C2" s="237"/>
      <c r="D2" s="237"/>
      <c r="E2" s="237"/>
      <c r="F2" s="115"/>
    </row>
    <row r="3" spans="1:6" x14ac:dyDescent="0.15">
      <c r="A3" s="237" t="s">
        <v>333</v>
      </c>
      <c r="B3" s="237"/>
      <c r="C3" s="237"/>
      <c r="D3" s="237"/>
      <c r="E3" s="237"/>
      <c r="F3" s="119"/>
    </row>
    <row r="4" spans="1:6" ht="20.25" customHeight="1" thickBot="1" x14ac:dyDescent="0.2">
      <c r="A4" s="237" t="s">
        <v>369</v>
      </c>
      <c r="B4" s="237"/>
      <c r="C4" s="119"/>
      <c r="D4" s="240" t="s">
        <v>370</v>
      </c>
      <c r="E4" s="240"/>
      <c r="F4" s="119"/>
    </row>
    <row r="5" spans="1:6" ht="32.25" customHeight="1" thickBot="1" x14ac:dyDescent="0.2">
      <c r="A5" s="120" t="s">
        <v>334</v>
      </c>
      <c r="B5" s="241" t="s">
        <v>335</v>
      </c>
      <c r="C5" s="241"/>
      <c r="D5" s="121" t="s">
        <v>392</v>
      </c>
      <c r="E5" s="120" t="s">
        <v>336</v>
      </c>
    </row>
    <row r="6" spans="1:6" ht="19.5" customHeight="1" thickBot="1" x14ac:dyDescent="0.2">
      <c r="A6" s="122"/>
      <c r="B6" s="241" t="s">
        <v>337</v>
      </c>
      <c r="C6" s="241"/>
      <c r="D6" s="123"/>
      <c r="E6" s="124"/>
    </row>
    <row r="7" spans="1:6" ht="19.5" customHeight="1" thickBot="1" x14ac:dyDescent="0.2">
      <c r="A7" s="122">
        <v>1</v>
      </c>
      <c r="B7" s="242" t="s">
        <v>373</v>
      </c>
      <c r="C7" s="243"/>
      <c r="D7" s="123"/>
      <c r="E7" s="124"/>
    </row>
    <row r="8" spans="1:6" ht="19.5" customHeight="1" thickBot="1" x14ac:dyDescent="0.2">
      <c r="A8" s="122">
        <v>2</v>
      </c>
      <c r="B8" s="242" t="s">
        <v>374</v>
      </c>
      <c r="C8" s="243"/>
      <c r="D8" s="123"/>
      <c r="E8" s="124"/>
    </row>
    <row r="9" spans="1:6" ht="19.5" customHeight="1" thickBot="1" x14ac:dyDescent="0.2">
      <c r="A9" s="122">
        <v>3</v>
      </c>
      <c r="B9" s="242" t="s">
        <v>375</v>
      </c>
      <c r="C9" s="243"/>
      <c r="D9" s="123"/>
      <c r="E9" s="124"/>
    </row>
    <row r="10" spans="1:6" ht="19.5" customHeight="1" thickBot="1" x14ac:dyDescent="0.2">
      <c r="A10" s="122">
        <v>4</v>
      </c>
      <c r="B10" s="242" t="s">
        <v>376</v>
      </c>
      <c r="C10" s="243"/>
      <c r="D10" s="123"/>
      <c r="E10" s="124"/>
    </row>
    <row r="11" spans="1:6" ht="19.5" customHeight="1" thickBot="1" x14ac:dyDescent="0.2">
      <c r="A11" s="122">
        <v>5</v>
      </c>
      <c r="B11" s="242" t="s">
        <v>377</v>
      </c>
      <c r="C11" s="243"/>
      <c r="D11" s="123"/>
      <c r="E11" s="124"/>
    </row>
    <row r="12" spans="1:6" ht="19.5" customHeight="1" thickBot="1" x14ac:dyDescent="0.2">
      <c r="A12" s="122">
        <v>6</v>
      </c>
      <c r="B12" s="242" t="s">
        <v>378</v>
      </c>
      <c r="C12" s="243"/>
      <c r="D12" s="123"/>
      <c r="E12" s="124"/>
    </row>
    <row r="13" spans="1:6" ht="19.5" customHeight="1" thickBot="1" x14ac:dyDescent="0.2">
      <c r="A13" s="122">
        <v>7</v>
      </c>
      <c r="B13" s="242" t="s">
        <v>391</v>
      </c>
      <c r="C13" s="243"/>
      <c r="D13" s="123"/>
      <c r="E13" s="124"/>
    </row>
    <row r="14" spans="1:6" ht="19.5" customHeight="1" thickBot="1" x14ac:dyDescent="0.2">
      <c r="A14" s="122"/>
      <c r="B14" s="241" t="s">
        <v>347</v>
      </c>
      <c r="C14" s="241"/>
      <c r="D14" s="123"/>
      <c r="E14" s="124"/>
    </row>
    <row r="15" spans="1:6" ht="19.5" customHeight="1" thickBot="1" x14ac:dyDescent="0.2">
      <c r="A15" s="122">
        <v>10</v>
      </c>
      <c r="B15" s="242" t="s">
        <v>379</v>
      </c>
      <c r="C15" s="243"/>
      <c r="D15" s="123"/>
      <c r="E15" s="124"/>
    </row>
    <row r="16" spans="1:6" ht="19.5" customHeight="1" thickBot="1" x14ac:dyDescent="0.2">
      <c r="A16" s="122">
        <v>11</v>
      </c>
      <c r="B16" s="242" t="s">
        <v>348</v>
      </c>
      <c r="C16" s="243"/>
      <c r="D16" s="123"/>
      <c r="E16" s="124"/>
    </row>
    <row r="17" spans="1:5" ht="19.5" customHeight="1" thickBot="1" x14ac:dyDescent="0.2">
      <c r="A17" s="122">
        <v>12</v>
      </c>
      <c r="B17" s="242" t="s">
        <v>380</v>
      </c>
      <c r="C17" s="243"/>
      <c r="D17" s="123"/>
      <c r="E17" s="124"/>
    </row>
    <row r="18" spans="1:5" ht="19.5" customHeight="1" thickBot="1" x14ac:dyDescent="0.2">
      <c r="A18" s="122">
        <v>13</v>
      </c>
      <c r="B18" s="242" t="s">
        <v>381</v>
      </c>
      <c r="C18" s="243"/>
      <c r="D18" s="123"/>
      <c r="E18" s="124"/>
    </row>
    <row r="19" spans="1:5" ht="19.5" customHeight="1" thickBot="1" x14ac:dyDescent="0.2">
      <c r="A19" s="122">
        <v>14</v>
      </c>
      <c r="B19" s="242" t="s">
        <v>382</v>
      </c>
      <c r="C19" s="243"/>
      <c r="D19" s="123"/>
      <c r="E19" s="124"/>
    </row>
    <row r="20" spans="1:5" ht="19.5" customHeight="1" thickBot="1" x14ac:dyDescent="0.2">
      <c r="A20" s="122">
        <v>15</v>
      </c>
      <c r="B20" s="242" t="s">
        <v>383</v>
      </c>
      <c r="C20" s="243"/>
      <c r="D20" s="123"/>
      <c r="E20" s="124"/>
    </row>
    <row r="21" spans="1:5" ht="19.5" customHeight="1" thickBot="1" x14ac:dyDescent="0.2">
      <c r="A21" s="122">
        <v>16</v>
      </c>
      <c r="B21" s="242" t="s">
        <v>384</v>
      </c>
      <c r="C21" s="243"/>
      <c r="D21" s="123"/>
      <c r="E21" s="124"/>
    </row>
    <row r="22" spans="1:5" ht="19.5" customHeight="1" thickBot="1" x14ac:dyDescent="0.2">
      <c r="A22" s="122">
        <v>17</v>
      </c>
      <c r="B22" s="242" t="s">
        <v>385</v>
      </c>
      <c r="C22" s="243"/>
      <c r="D22" s="123"/>
      <c r="E22" s="124"/>
    </row>
    <row r="23" spans="1:5" ht="19.5" customHeight="1" thickBot="1" x14ac:dyDescent="0.2">
      <c r="A23" s="122">
        <v>18</v>
      </c>
      <c r="B23" s="242" t="s">
        <v>386</v>
      </c>
      <c r="C23" s="243"/>
      <c r="D23" s="123"/>
      <c r="E23" s="124"/>
    </row>
    <row r="24" spans="1:5" ht="19.5" customHeight="1" thickBot="1" x14ac:dyDescent="0.2">
      <c r="A24" s="122"/>
      <c r="B24" s="241" t="s">
        <v>357</v>
      </c>
      <c r="C24" s="241"/>
      <c r="D24" s="123"/>
      <c r="E24" s="124"/>
    </row>
    <row r="25" spans="1:5" ht="19.5" customHeight="1" thickBot="1" x14ac:dyDescent="0.2">
      <c r="A25" s="122">
        <v>20</v>
      </c>
      <c r="B25" s="242" t="s">
        <v>387</v>
      </c>
      <c r="C25" s="243"/>
      <c r="D25" s="123"/>
      <c r="E25" s="124"/>
    </row>
    <row r="26" spans="1:5" ht="19.5" customHeight="1" thickBot="1" x14ac:dyDescent="0.2">
      <c r="A26" s="122">
        <v>21</v>
      </c>
      <c r="B26" s="242" t="s">
        <v>359</v>
      </c>
      <c r="C26" s="243"/>
      <c r="D26" s="123"/>
      <c r="E26" s="124"/>
    </row>
    <row r="27" spans="1:5" ht="19.5" customHeight="1" thickBot="1" x14ac:dyDescent="0.2">
      <c r="A27" s="122">
        <v>22</v>
      </c>
      <c r="B27" s="242" t="s">
        <v>388</v>
      </c>
      <c r="C27" s="243"/>
      <c r="D27" s="123"/>
      <c r="E27" s="124"/>
    </row>
    <row r="28" spans="1:5" ht="19.5" customHeight="1" thickBot="1" x14ac:dyDescent="0.2">
      <c r="A28" s="122">
        <v>23</v>
      </c>
      <c r="B28" s="242" t="s">
        <v>361</v>
      </c>
      <c r="C28" s="243"/>
      <c r="D28" s="123"/>
      <c r="E28" s="124"/>
    </row>
    <row r="29" spans="1:5" ht="19.5" customHeight="1" thickBot="1" x14ac:dyDescent="0.2">
      <c r="A29" s="122">
        <v>24</v>
      </c>
      <c r="B29" s="242" t="s">
        <v>389</v>
      </c>
      <c r="C29" s="243"/>
      <c r="D29" s="123"/>
      <c r="E29" s="124"/>
    </row>
    <row r="30" spans="1:5" ht="19.5" customHeight="1" thickBot="1" x14ac:dyDescent="0.2">
      <c r="A30" s="122"/>
      <c r="B30" s="242" t="s">
        <v>390</v>
      </c>
      <c r="C30" s="243"/>
      <c r="D30" s="123"/>
      <c r="E30" s="124"/>
    </row>
    <row r="31" spans="1:5" ht="19.5" customHeight="1" thickBot="1" x14ac:dyDescent="0.2">
      <c r="A31" s="122">
        <v>25</v>
      </c>
      <c r="B31" s="242" t="s">
        <v>386</v>
      </c>
      <c r="C31" s="243"/>
      <c r="D31" s="123"/>
      <c r="E31" s="124"/>
    </row>
    <row r="32" spans="1:5" x14ac:dyDescent="0.15">
      <c r="A32" s="237" t="s">
        <v>363</v>
      </c>
      <c r="B32" s="237"/>
      <c r="C32" s="117" t="s">
        <v>364</v>
      </c>
      <c r="D32" s="118"/>
      <c r="E32" s="116"/>
    </row>
    <row r="33" spans="1:5" x14ac:dyDescent="0.15">
      <c r="A33" s="237" t="s">
        <v>365</v>
      </c>
      <c r="B33" s="237"/>
      <c r="C33" s="117" t="s">
        <v>366</v>
      </c>
      <c r="D33" s="118"/>
      <c r="E33" s="116"/>
    </row>
    <row r="34" spans="1:5" x14ac:dyDescent="0.15">
      <c r="A34" s="237" t="s">
        <v>367</v>
      </c>
      <c r="B34" s="237"/>
      <c r="C34" s="117" t="s">
        <v>368</v>
      </c>
      <c r="D34" s="118"/>
      <c r="E34" s="116"/>
    </row>
  </sheetData>
  <mergeCells count="35">
    <mergeCell ref="B5:C5"/>
    <mergeCell ref="A1:E1"/>
    <mergeCell ref="A2:E2"/>
    <mergeCell ref="A3:E3"/>
    <mergeCell ref="A4:B4"/>
    <mergeCell ref="D4:E4"/>
    <mergeCell ref="B12:C12"/>
    <mergeCell ref="B13:C13"/>
    <mergeCell ref="B14:C14"/>
    <mergeCell ref="B15:C15"/>
    <mergeCell ref="B6:C6"/>
    <mergeCell ref="B25:C25"/>
    <mergeCell ref="B26:C26"/>
    <mergeCell ref="B16:C16"/>
    <mergeCell ref="B17:C17"/>
    <mergeCell ref="B18:C18"/>
    <mergeCell ref="B19:C19"/>
    <mergeCell ref="B20:C20"/>
    <mergeCell ref="B21:C21"/>
    <mergeCell ref="A34:B34"/>
    <mergeCell ref="B31:C31"/>
    <mergeCell ref="B7:C7"/>
    <mergeCell ref="B8:C8"/>
    <mergeCell ref="B9:C9"/>
    <mergeCell ref="B10:C10"/>
    <mergeCell ref="B11:C11"/>
    <mergeCell ref="B27:C27"/>
    <mergeCell ref="B28:C28"/>
    <mergeCell ref="B29:C29"/>
    <mergeCell ref="B30:C30"/>
    <mergeCell ref="A32:B32"/>
    <mergeCell ref="A33:B33"/>
    <mergeCell ref="B22:C22"/>
    <mergeCell ref="B23:C23"/>
    <mergeCell ref="B24:C24"/>
  </mergeCells>
  <phoneticPr fontId="39" type="noConversion"/>
  <hyperlinks>
    <hyperlink ref="F1" location="封面!A1" display="返回" xr:uid="{00000000-0004-0000-0200-000000000000}"/>
  </hyperlinks>
  <pageMargins left="0.78740157480314965" right="0.78740157480314965" top="0.74803149606299213"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15"/>
  <sheetViews>
    <sheetView view="pageBreakPreview" topLeftCell="A4" zoomScale="145" zoomScaleNormal="160" zoomScaleSheetLayoutView="145" workbookViewId="0">
      <selection activeCell="G18" sqref="G18"/>
    </sheetView>
  </sheetViews>
  <sheetFormatPr defaultRowHeight="13.5" x14ac:dyDescent="0.15"/>
  <cols>
    <col min="1" max="1" width="6.75" style="62" customWidth="1"/>
    <col min="2" max="2" width="4.5" style="62" customWidth="1"/>
    <col min="3" max="3" width="11.125" style="62" customWidth="1"/>
    <col min="4" max="4" width="29.75" style="62" customWidth="1"/>
    <col min="5" max="5" width="23.875" style="62" customWidth="1"/>
    <col min="6" max="6" width="6.75" style="62" customWidth="1"/>
    <col min="7" max="7" width="6.375" style="62" customWidth="1"/>
    <col min="8" max="8" width="9" style="62"/>
    <col min="9" max="9" width="15.75" style="62" customWidth="1"/>
    <col min="10" max="10" width="16.125" style="62" bestFit="1" customWidth="1"/>
    <col min="11" max="16384" width="9" style="62"/>
  </cols>
  <sheetData>
    <row r="1" spans="1:18" ht="50.25" customHeight="1" x14ac:dyDescent="0.15">
      <c r="A1" s="249" t="s">
        <v>398</v>
      </c>
      <c r="B1" s="249"/>
      <c r="C1" s="249"/>
      <c r="D1" s="249"/>
      <c r="E1" s="249"/>
      <c r="F1" s="249"/>
      <c r="G1" s="249"/>
      <c r="H1" s="133" t="s">
        <v>414</v>
      </c>
    </row>
    <row r="2" spans="1:18" ht="33.75" customHeight="1" x14ac:dyDescent="0.15">
      <c r="A2" s="248" t="str">
        <f>J3&amp;"："</f>
        <v>重庆银行股份有限公司江北支行：</v>
      </c>
      <c r="B2" s="248"/>
      <c r="C2" s="248"/>
      <c r="D2" s="248"/>
      <c r="E2" s="248"/>
      <c r="F2" s="248"/>
      <c r="G2" s="248"/>
    </row>
    <row r="3" spans="1:18" ht="180" customHeight="1" x14ac:dyDescent="0.15">
      <c r="A3" s="247" t="str">
        <f>"    我公司接受"&amp;测算表!B9&amp;"委托，开展了对位于"&amp;测算表!B20&amp;"的房地产进行司法评估事宜（详见附件-《"&amp;[0]!委托书&amp;"》（委托书编号："&amp;[0]!委托编号&amp;"）复印件。并出具评估报告。根据《国家计委建设部关于房地产中介服务收费的通知》（计价格[1995]971号），本次评估收费按评估值差额定率累进方式，评估收费总金额为"&amp;I7&amp;"元（大写：人民币"&amp;TEXT(INT(I7),"[DBNUM2]")&amp;"元整），望及时支付。相关收费标准及计算如下："</f>
        <v xml:space="preserve">    我公司接受重庆市渝北区人民法院委托，开展了对位于渝中区长江一路79号15-1、15-6#的房地产进行司法评估事宜（详见附件-《重庆市渝北区人民法院司法评估委托书》（委托书编号：（2024）渝北法委评字第858号）复印件。并出具评估报告。根据《国家计委建设部关于房地产中介服务收费的通知》（计价格[1995]971号），本次评估收费按评估值差额定率累进方式，评估收费总金额为8560元（大写：人民币捌仟伍佰陆拾元整），望及时支付。相关收费标准及计算如下：</v>
      </c>
      <c r="B3" s="247"/>
      <c r="C3" s="247"/>
      <c r="D3" s="247"/>
      <c r="E3" s="247"/>
      <c r="F3" s="247"/>
      <c r="G3" s="247"/>
      <c r="I3" s="62" t="s">
        <v>470</v>
      </c>
      <c r="J3" s="141" t="s">
        <v>471</v>
      </c>
    </row>
    <row r="4" spans="1:18" ht="33" customHeight="1" x14ac:dyDescent="0.3">
      <c r="C4" s="130" t="s">
        <v>399</v>
      </c>
      <c r="D4" s="130" t="s">
        <v>408</v>
      </c>
      <c r="E4" s="130" t="s">
        <v>409</v>
      </c>
      <c r="I4" s="245" t="s">
        <v>415</v>
      </c>
      <c r="J4" s="246"/>
      <c r="K4" s="246"/>
      <c r="L4" s="246"/>
      <c r="M4" s="246"/>
      <c r="N4" s="246"/>
      <c r="O4" s="246"/>
      <c r="P4" s="246"/>
      <c r="Q4" s="246"/>
      <c r="R4" s="246"/>
    </row>
    <row r="5" spans="1:18" ht="24" customHeight="1" x14ac:dyDescent="0.15">
      <c r="C5" s="130">
        <v>1</v>
      </c>
      <c r="D5" s="130" t="s">
        <v>400</v>
      </c>
      <c r="E5" s="130">
        <v>5</v>
      </c>
      <c r="I5" s="134" t="s">
        <v>416</v>
      </c>
      <c r="J5" s="135" t="s">
        <v>31</v>
      </c>
      <c r="K5" s="136" t="s">
        <v>417</v>
      </c>
      <c r="L5" s="137" t="s">
        <v>418</v>
      </c>
      <c r="M5" s="136" t="s">
        <v>419</v>
      </c>
      <c r="N5" s="137" t="s">
        <v>420</v>
      </c>
      <c r="O5" s="136" t="s">
        <v>421</v>
      </c>
      <c r="P5" s="137"/>
      <c r="Q5" s="137" t="s">
        <v>422</v>
      </c>
      <c r="R5" s="136" t="s">
        <v>423</v>
      </c>
    </row>
    <row r="6" spans="1:18" ht="24" customHeight="1" x14ac:dyDescent="0.15">
      <c r="C6" s="130">
        <v>2</v>
      </c>
      <c r="D6" s="130" t="s">
        <v>401</v>
      </c>
      <c r="E6" s="130">
        <v>2.5</v>
      </c>
      <c r="I6" s="138">
        <f>房地产综合评估总价</f>
        <v>242.45</v>
      </c>
      <c r="J6" s="139">
        <f>IF(I6&lt;10000,IF(I6&lt;100,I6*0.005*10000,IF(I6&lt;1000,(5000+(I6-100)*0.0025*10000),IF(I6&lt;2000,27500+(I6-1000)*10000*0.0015,IF(I6&lt;5000,42500+10000*(I6-2000)*0.0008,IF(I6&lt;8000,66500+10000*0.0004*(I6-5000),IF(I6&lt;10000,78500+10000*0.0002*(I6-8000),1)))))),82500+(I6-10000)*1)</f>
        <v>8561.25</v>
      </c>
      <c r="K6" s="140">
        <f>J6*0.9</f>
        <v>7705.125</v>
      </c>
      <c r="L6" s="139">
        <f>J6*0.8</f>
        <v>6849</v>
      </c>
      <c r="M6" s="140">
        <f>J6*0.7</f>
        <v>5992.875</v>
      </c>
      <c r="N6" s="139">
        <f>J6*0.6</f>
        <v>5136.75</v>
      </c>
      <c r="O6" s="140">
        <f>J6*0.5</f>
        <v>4280.625</v>
      </c>
      <c r="P6" s="139"/>
      <c r="Q6" s="139">
        <f>J6*0.4</f>
        <v>3424.5</v>
      </c>
      <c r="R6" s="140">
        <f>J6*0.3</f>
        <v>2568.375</v>
      </c>
    </row>
    <row r="7" spans="1:18" ht="24" customHeight="1" x14ac:dyDescent="0.15">
      <c r="C7" s="130">
        <v>3</v>
      </c>
      <c r="D7" s="130" t="s">
        <v>402</v>
      </c>
      <c r="E7" s="130">
        <v>1.5</v>
      </c>
      <c r="I7" s="62">
        <f>ROUND(J6,-1)</f>
        <v>8560</v>
      </c>
      <c r="J7" s="129"/>
    </row>
    <row r="8" spans="1:18" ht="24" customHeight="1" x14ac:dyDescent="0.15">
      <c r="C8" s="130">
        <v>4</v>
      </c>
      <c r="D8" s="130" t="s">
        <v>403</v>
      </c>
      <c r="E8" s="130">
        <v>0.8</v>
      </c>
    </row>
    <row r="9" spans="1:18" ht="24" customHeight="1" x14ac:dyDescent="0.15">
      <c r="C9" s="130">
        <v>5</v>
      </c>
      <c r="D9" s="130" t="s">
        <v>404</v>
      </c>
      <c r="E9" s="130">
        <v>0.4</v>
      </c>
    </row>
    <row r="10" spans="1:18" ht="24" customHeight="1" x14ac:dyDescent="0.15">
      <c r="C10" s="130">
        <v>6</v>
      </c>
      <c r="D10" s="130" t="s">
        <v>405</v>
      </c>
      <c r="E10" s="130">
        <v>0.2</v>
      </c>
    </row>
    <row r="11" spans="1:18" ht="24" customHeight="1" x14ac:dyDescent="0.15">
      <c r="C11" s="130">
        <v>7</v>
      </c>
      <c r="D11" s="130" t="s">
        <v>406</v>
      </c>
      <c r="E11" s="130">
        <v>0.1</v>
      </c>
    </row>
    <row r="12" spans="1:18" s="62" customFormat="1" ht="114.75" customHeight="1" ph="1" x14ac:dyDescent="0.15">
      <c r="A12" s="247" t="s">
        <v>410</v>
      </c>
      <c r="B12" s="247"/>
      <c r="C12" s="247"/>
      <c r="D12" s="247"/>
      <c r="E12" s="247"/>
      <c r="F12" s="247"/>
      <c r="G12" s="247"/>
    </row>
    <row r="13" spans="1:18" ht="45.75" customHeight="1" x14ac:dyDescent="0.15">
      <c r="A13" s="247" t="str">
        <f>"    附：《"&amp;[0]!委托书&amp;"》（委托书编号："&amp;[0]!委托编号&amp;"）复印件。"</f>
        <v xml:space="preserve">    附：《重庆市渝北区人民法院司法评估委托书》（委托书编号：（2024）渝北法委评字第858号）复印件。</v>
      </c>
      <c r="B13" s="247"/>
      <c r="C13" s="247"/>
      <c r="D13" s="247"/>
      <c r="E13" s="247"/>
      <c r="F13" s="247"/>
      <c r="G13" s="247"/>
    </row>
    <row r="14" spans="1:18" ht="30" customHeight="1" x14ac:dyDescent="0.15">
      <c r="A14" s="250" t="s">
        <v>407</v>
      </c>
      <c r="B14" s="250"/>
      <c r="C14" s="250"/>
      <c r="D14" s="250"/>
      <c r="E14" s="250"/>
      <c r="F14" s="250"/>
      <c r="G14" s="250"/>
    </row>
    <row r="15" spans="1:18" ht="30" customHeight="1" x14ac:dyDescent="0.15">
      <c r="A15" s="244">
        <f>测算表!D14</f>
        <v>45523</v>
      </c>
      <c r="B15" s="244"/>
      <c r="C15" s="244"/>
      <c r="D15" s="244"/>
      <c r="E15" s="244"/>
      <c r="F15" s="244"/>
      <c r="G15" s="244"/>
    </row>
  </sheetData>
  <mergeCells count="8">
    <mergeCell ref="A15:G15"/>
    <mergeCell ref="I4:R4"/>
    <mergeCell ref="A3:G3"/>
    <mergeCell ref="A2:G2"/>
    <mergeCell ref="A1:G1"/>
    <mergeCell ref="A12:G12"/>
    <mergeCell ref="A13:G13"/>
    <mergeCell ref="A14:G14"/>
  </mergeCells>
  <phoneticPr fontId="17" type="noConversion"/>
  <hyperlinks>
    <hyperlink ref="H1" location="封面!A1" display="返回"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W176"/>
  <sheetViews>
    <sheetView tabSelected="1" topLeftCell="A110" zoomScaleNormal="100" workbookViewId="0">
      <selection activeCell="A91" sqref="A91:F91"/>
    </sheetView>
  </sheetViews>
  <sheetFormatPr defaultColWidth="9" defaultRowHeight="13.5" x14ac:dyDescent="0.15"/>
  <cols>
    <col min="1" max="1" width="15" style="62" customWidth="1"/>
    <col min="2" max="2" width="20.875" style="62" customWidth="1"/>
    <col min="3" max="3" width="19.875" style="62" customWidth="1"/>
    <col min="4" max="4" width="24" style="62" customWidth="1"/>
    <col min="5" max="5" width="18" style="62" customWidth="1"/>
    <col min="6" max="6" width="23.625" style="62" customWidth="1"/>
    <col min="7" max="7" width="38.125" style="62" customWidth="1"/>
    <col min="8" max="8" width="27.125" style="62" customWidth="1"/>
    <col min="9" max="14" width="22" style="62" customWidth="1"/>
    <col min="15" max="15" width="39.75" style="62" customWidth="1"/>
    <col min="16" max="16" width="17.875" style="62" customWidth="1"/>
    <col min="17" max="17" width="10.5" style="62" customWidth="1"/>
    <col min="18" max="18" width="18.5" style="62" customWidth="1"/>
    <col min="19" max="22" width="13.125" style="62" customWidth="1"/>
    <col min="23" max="23" width="36.375" style="62" customWidth="1"/>
    <col min="24" max="16384" width="9" style="62"/>
  </cols>
  <sheetData>
    <row r="1" spans="1:16" ht="31.5" customHeight="1" x14ac:dyDescent="0.15">
      <c r="A1" s="272" t="s">
        <v>487</v>
      </c>
      <c r="B1" s="272"/>
      <c r="C1" s="272"/>
      <c r="D1" s="272"/>
      <c r="E1" s="272"/>
      <c r="F1" s="272"/>
      <c r="G1" s="156" t="s">
        <v>477</v>
      </c>
      <c r="H1" s="158"/>
      <c r="I1" s="158"/>
      <c r="J1" s="158"/>
      <c r="K1" s="158"/>
      <c r="L1" s="158"/>
      <c r="M1" s="158"/>
      <c r="N1" s="158"/>
      <c r="O1" s="158"/>
      <c r="P1" s="158"/>
    </row>
    <row r="2" spans="1:16" ht="32.25" customHeight="1" x14ac:dyDescent="0.15">
      <c r="A2" s="148" t="s">
        <v>230</v>
      </c>
      <c r="B2" s="148" t="s">
        <v>304</v>
      </c>
      <c r="C2" s="148" t="s">
        <v>301</v>
      </c>
      <c r="D2" s="148" t="s">
        <v>234</v>
      </c>
      <c r="E2" s="148" t="s">
        <v>302</v>
      </c>
      <c r="F2" s="148" t="s">
        <v>303</v>
      </c>
      <c r="G2" s="182" t="s">
        <v>478</v>
      </c>
      <c r="H2" s="158"/>
      <c r="I2" s="158"/>
      <c r="J2" s="158"/>
      <c r="K2" s="158"/>
      <c r="L2" s="158"/>
      <c r="M2" s="158"/>
      <c r="N2" s="158"/>
      <c r="O2" s="158"/>
      <c r="P2" s="158"/>
    </row>
    <row r="3" spans="1:16" ht="22.5" customHeight="1" x14ac:dyDescent="0.15">
      <c r="A3" s="170" t="s">
        <v>231</v>
      </c>
      <c r="B3" s="151">
        <f>J90</f>
        <v>9100</v>
      </c>
      <c r="C3" s="151">
        <f>ROUND(B3*D24/10000,2)</f>
        <v>242.45</v>
      </c>
      <c r="D3" s="189">
        <v>1</v>
      </c>
      <c r="E3" s="320">
        <f>ROUND(B3*D3+B4*D4,-1)</f>
        <v>9100</v>
      </c>
      <c r="F3" s="234">
        <f>ROUND(E3*建筑面积/10000,2)</f>
        <v>242.45</v>
      </c>
      <c r="G3" s="193" t="s">
        <v>479</v>
      </c>
      <c r="H3" s="158"/>
      <c r="I3" s="158"/>
      <c r="J3" s="158"/>
      <c r="K3" s="158"/>
      <c r="L3" s="158"/>
      <c r="M3" s="158"/>
      <c r="N3" s="158"/>
      <c r="O3" s="158"/>
      <c r="P3" s="158"/>
    </row>
    <row r="4" spans="1:16" ht="22.5" customHeight="1" x14ac:dyDescent="0.15">
      <c r="A4" s="170" t="s">
        <v>232</v>
      </c>
      <c r="B4" s="152">
        <f>G161</f>
        <v>4100</v>
      </c>
      <c r="C4" s="151">
        <f>ROUND(B4*建筑面积/10000,2)</f>
        <v>109.24</v>
      </c>
      <c r="D4" s="189">
        <f>1-D3</f>
        <v>0</v>
      </c>
      <c r="E4" s="320"/>
      <c r="F4" s="222"/>
      <c r="G4" s="158"/>
      <c r="H4" s="158"/>
      <c r="I4" s="158"/>
      <c r="J4" s="158"/>
      <c r="K4" s="158"/>
      <c r="L4" s="158"/>
      <c r="M4" s="158"/>
      <c r="N4" s="158"/>
      <c r="O4" s="158"/>
      <c r="P4" s="158"/>
    </row>
    <row r="5" spans="1:16" ht="22.5" customHeight="1" x14ac:dyDescent="0.15">
      <c r="A5" s="170" t="s">
        <v>456</v>
      </c>
      <c r="B5" s="89" t="s">
        <v>457</v>
      </c>
      <c r="C5" s="100">
        <f>ROUND(家具评估结果明细表!G3/10000,2)</f>
        <v>1.26</v>
      </c>
      <c r="D5" s="89" t="s">
        <v>457</v>
      </c>
      <c r="E5" s="154" t="s">
        <v>457</v>
      </c>
      <c r="F5" s="155">
        <f>家具家电评估总价</f>
        <v>1.26</v>
      </c>
      <c r="G5" s="158"/>
      <c r="H5" s="158"/>
      <c r="I5" s="158"/>
      <c r="J5" s="158"/>
      <c r="K5" s="158"/>
      <c r="L5" s="158"/>
      <c r="M5" s="158"/>
      <c r="N5" s="158"/>
      <c r="O5" s="158"/>
      <c r="P5" s="158"/>
    </row>
    <row r="6" spans="1:16" ht="22.5" customHeight="1" x14ac:dyDescent="0.15">
      <c r="A6" s="277" t="s">
        <v>458</v>
      </c>
      <c r="B6" s="277"/>
      <c r="C6" s="277"/>
      <c r="D6" s="277"/>
      <c r="E6" s="277"/>
      <c r="F6" s="153">
        <f>SUM(F3:F5)</f>
        <v>243.70999999999998</v>
      </c>
      <c r="G6" s="158"/>
      <c r="H6" s="158"/>
      <c r="I6" s="158"/>
      <c r="J6" s="158"/>
      <c r="K6" s="158"/>
      <c r="L6" s="158"/>
      <c r="M6" s="158"/>
      <c r="N6" s="158"/>
      <c r="O6" s="158"/>
      <c r="P6" s="158"/>
    </row>
    <row r="7" spans="1:16" ht="18.75" customHeight="1" x14ac:dyDescent="0.15">
      <c r="A7" s="160" t="s">
        <v>480</v>
      </c>
      <c r="B7" s="161">
        <f>综合评估总价*10000</f>
        <v>2424500</v>
      </c>
      <c r="C7" s="160" t="s">
        <v>483</v>
      </c>
      <c r="D7" s="162">
        <f>F5*10000</f>
        <v>12600</v>
      </c>
      <c r="E7" s="160" t="s">
        <v>481</v>
      </c>
      <c r="F7" s="162">
        <f>房地产和家具总价小写*10000</f>
        <v>2437100</v>
      </c>
      <c r="G7" s="158"/>
      <c r="H7" s="158"/>
      <c r="I7" s="158"/>
      <c r="J7" s="158"/>
      <c r="K7" s="158"/>
      <c r="L7" s="158"/>
      <c r="M7" s="158"/>
      <c r="N7" s="158"/>
      <c r="O7" s="158"/>
      <c r="P7" s="158"/>
    </row>
    <row r="8" spans="1:16" ht="32.25" customHeight="1" x14ac:dyDescent="0.15">
      <c r="A8" s="272" t="s">
        <v>492</v>
      </c>
      <c r="B8" s="272"/>
      <c r="C8" s="272"/>
      <c r="D8" s="272"/>
      <c r="E8" s="272"/>
      <c r="F8" s="272"/>
      <c r="G8" s="158"/>
      <c r="H8" s="158"/>
      <c r="I8" s="158"/>
      <c r="J8" s="158"/>
      <c r="K8" s="158"/>
      <c r="L8" s="158"/>
      <c r="M8" s="158"/>
      <c r="N8" s="158"/>
      <c r="O8" s="158"/>
      <c r="P8" s="158"/>
    </row>
    <row r="9" spans="1:16" ht="36.75" customHeight="1" x14ac:dyDescent="0.15">
      <c r="A9" s="149" t="s">
        <v>276</v>
      </c>
      <c r="B9" s="178" t="s">
        <v>507</v>
      </c>
      <c r="C9" s="87" t="s">
        <v>246</v>
      </c>
      <c r="D9" s="179" t="s">
        <v>508</v>
      </c>
      <c r="E9" s="84" t="s">
        <v>268</v>
      </c>
      <c r="F9" s="180" t="s">
        <v>509</v>
      </c>
      <c r="G9" s="158"/>
      <c r="H9" s="158"/>
      <c r="I9" s="158"/>
      <c r="J9" s="158"/>
      <c r="K9" s="158"/>
      <c r="L9" s="158"/>
      <c r="M9" s="158"/>
      <c r="N9" s="158"/>
      <c r="O9" s="158"/>
      <c r="P9" s="158"/>
    </row>
    <row r="10" spans="1:16" ht="35.25" customHeight="1" x14ac:dyDescent="0.15">
      <c r="A10" s="149" t="s">
        <v>424</v>
      </c>
      <c r="B10" s="178" t="s">
        <v>510</v>
      </c>
      <c r="C10" s="149" t="s">
        <v>425</v>
      </c>
      <c r="D10" s="194" t="s">
        <v>511</v>
      </c>
      <c r="E10" s="195" t="s">
        <v>474</v>
      </c>
      <c r="F10" s="196">
        <v>45482</v>
      </c>
      <c r="G10" s="158"/>
      <c r="H10" s="158"/>
      <c r="I10" s="158"/>
      <c r="J10" s="158"/>
      <c r="K10" s="158"/>
      <c r="L10" s="158"/>
      <c r="M10" s="158"/>
      <c r="N10" s="158"/>
      <c r="O10" s="158"/>
      <c r="P10" s="158"/>
    </row>
    <row r="11" spans="1:16" s="158" customFormat="1" ht="24.75" customHeight="1" x14ac:dyDescent="0.15">
      <c r="A11" s="164" t="s">
        <v>482</v>
      </c>
      <c r="B11" s="165" t="str" cm="1">
        <f t="array" aca="1" ref="B11" ca="1">SUBSTITUTE(SUBSTITUTE(CELL("filename"), "\", "\\\\"), "[测算表.xlsx]测算表", "")</f>
        <v>C:\\\\Users\\\\Administrator\\\\Desktop\\\\技术报告模板-最后专门用来写技术的，7000\\\\</v>
      </c>
      <c r="C11" s="166"/>
      <c r="D11" s="167"/>
      <c r="E11" s="168"/>
      <c r="F11" s="169">
        <f>委托日期</f>
        <v>45482</v>
      </c>
    </row>
    <row r="12" spans="1:16" ht="27" customHeight="1" x14ac:dyDescent="0.15">
      <c r="A12" s="272" t="s">
        <v>493</v>
      </c>
      <c r="B12" s="272"/>
      <c r="C12" s="272"/>
      <c r="D12" s="272"/>
      <c r="E12" s="272"/>
      <c r="F12" s="272"/>
      <c r="G12" s="158"/>
      <c r="H12" s="204"/>
      <c r="I12" s="204"/>
      <c r="J12" s="204"/>
      <c r="K12" s="204"/>
      <c r="L12" s="204"/>
      <c r="M12" s="204"/>
      <c r="N12" s="204"/>
      <c r="O12" s="158"/>
      <c r="P12" s="158"/>
    </row>
    <row r="13" spans="1:16" ht="34.5" customHeight="1" x14ac:dyDescent="0.15">
      <c r="A13" s="86" t="s">
        <v>242</v>
      </c>
      <c r="B13" s="302" t="s">
        <v>512</v>
      </c>
      <c r="C13" s="302"/>
      <c r="D13" s="302"/>
      <c r="E13" s="302"/>
      <c r="F13" s="302"/>
      <c r="G13" s="158"/>
      <c r="H13" s="205"/>
      <c r="I13" s="205"/>
      <c r="J13" s="205"/>
      <c r="K13" s="205"/>
      <c r="L13" s="205"/>
      <c r="M13" s="205"/>
      <c r="N13" s="205"/>
      <c r="O13" s="158"/>
      <c r="P13" s="158"/>
    </row>
    <row r="14" spans="1:16" ht="42.75" customHeight="1" x14ac:dyDescent="0.15">
      <c r="A14" s="86" t="s">
        <v>241</v>
      </c>
      <c r="B14" s="177">
        <v>45518</v>
      </c>
      <c r="C14" s="163" t="s">
        <v>488</v>
      </c>
      <c r="D14" s="177">
        <v>45523</v>
      </c>
      <c r="E14" s="163" t="s">
        <v>490</v>
      </c>
      <c r="F14" s="199">
        <f>报告出具日期+364</f>
        <v>45887</v>
      </c>
      <c r="G14" s="206"/>
      <c r="H14" s="205"/>
      <c r="I14" s="205"/>
      <c r="J14" s="205"/>
      <c r="K14" s="205"/>
      <c r="L14" s="205"/>
      <c r="M14" s="205"/>
      <c r="N14" s="205"/>
      <c r="O14" s="158"/>
      <c r="P14" s="158"/>
    </row>
    <row r="15" spans="1:16" ht="32.25" customHeight="1" x14ac:dyDescent="0.15">
      <c r="A15" s="88" t="s">
        <v>243</v>
      </c>
      <c r="B15" s="197" t="s">
        <v>486</v>
      </c>
      <c r="C15" s="88" t="s">
        <v>245</v>
      </c>
      <c r="D15" s="157" t="str">
        <f>IF(估价师1名称="谢  渝","5020040059",IF(估价师1名称="闫凯旋","5020170017",IF(估价师1名称="韩  静","5020140014",IF(估价师1名称="洪  译","5020190014",IF(估价师1名称="蒋代平","5020210023")))))</f>
        <v>5020040059</v>
      </c>
      <c r="E15" s="84" t="s">
        <v>268</v>
      </c>
      <c r="F15" s="150">
        <v>18623088071</v>
      </c>
      <c r="G15" s="158"/>
      <c r="H15" s="158"/>
      <c r="I15" s="158"/>
      <c r="J15" s="158"/>
      <c r="K15" s="158"/>
      <c r="L15" s="158"/>
      <c r="M15" s="158"/>
      <c r="N15" s="158"/>
      <c r="O15" s="158"/>
      <c r="P15" s="158"/>
    </row>
    <row r="16" spans="1:16" ht="25.5" customHeight="1" x14ac:dyDescent="0.15">
      <c r="A16" s="212" t="s">
        <v>244</v>
      </c>
      <c r="B16" s="213" t="s">
        <v>14</v>
      </c>
      <c r="C16" s="212" t="s">
        <v>245</v>
      </c>
      <c r="D16" s="214" t="str">
        <f>IF(B16="谢  渝","5020040059",IF(B16="闫凯旋","5020170017",IF(B16="韩  静","5020140014",IF(B16="洪  译","5020190014",IF(B16="蒋代平","5020210023")))))</f>
        <v>5020170017</v>
      </c>
      <c r="E16" s="215" t="s">
        <v>268</v>
      </c>
      <c r="F16" s="216">
        <v>18580335533</v>
      </c>
      <c r="G16" s="158"/>
      <c r="H16" s="158"/>
      <c r="I16" s="158"/>
      <c r="J16" s="158"/>
      <c r="K16" s="158"/>
      <c r="L16" s="158"/>
      <c r="M16" s="158"/>
      <c r="N16" s="158"/>
      <c r="O16" s="158"/>
      <c r="P16" s="158"/>
    </row>
    <row r="17" spans="1:16" s="158" customFormat="1" ht="26.25" customHeight="1" x14ac:dyDescent="0.15">
      <c r="A17" s="217" t="s">
        <v>536</v>
      </c>
      <c r="B17" s="218">
        <f>价值时点</f>
        <v>45518</v>
      </c>
      <c r="C17" s="219" t="s">
        <v>489</v>
      </c>
      <c r="D17" s="218">
        <f>报告出具日期</f>
        <v>45523</v>
      </c>
      <c r="E17" s="219" t="s">
        <v>491</v>
      </c>
      <c r="F17" s="218">
        <f>报告有效期</f>
        <v>45887</v>
      </c>
      <c r="G17" s="159"/>
    </row>
    <row r="18" spans="1:16" ht="24.75" customHeight="1" x14ac:dyDescent="0.15">
      <c r="A18" s="322" t="s">
        <v>494</v>
      </c>
      <c r="B18" s="322"/>
      <c r="C18" s="322"/>
      <c r="D18" s="322"/>
      <c r="E18" s="322"/>
      <c r="F18" s="322"/>
      <c r="G18" s="158"/>
      <c r="H18" s="158"/>
      <c r="I18" s="158"/>
      <c r="J18" s="158"/>
      <c r="K18" s="158"/>
      <c r="L18" s="158"/>
      <c r="M18" s="158"/>
      <c r="N18" s="158"/>
      <c r="O18" s="158"/>
      <c r="P18" s="158"/>
    </row>
    <row r="19" spans="1:16" ht="24.75" customHeight="1" x14ac:dyDescent="0.15">
      <c r="A19" s="90" t="str">
        <f>IF(ISERR(FIND("不动",权属证书编号)),"房地产权证","不动产权证")</f>
        <v>不动产权证</v>
      </c>
      <c r="B19" s="311" t="s">
        <v>513</v>
      </c>
      <c r="C19" s="311"/>
      <c r="D19" s="311"/>
      <c r="E19" s="311"/>
      <c r="F19" s="311"/>
      <c r="G19" s="158"/>
      <c r="H19" s="158"/>
      <c r="I19" s="158"/>
      <c r="J19" s="158"/>
      <c r="K19" s="158"/>
      <c r="L19" s="158"/>
      <c r="M19" s="158"/>
      <c r="N19" s="158"/>
      <c r="O19" s="158"/>
      <c r="P19" s="158"/>
    </row>
    <row r="20" spans="1:16" ht="23.25" customHeight="1" x14ac:dyDescent="0.15">
      <c r="A20" s="91" t="s">
        <v>247</v>
      </c>
      <c r="B20" s="308" t="s">
        <v>514</v>
      </c>
      <c r="C20" s="309"/>
      <c r="D20" s="309"/>
      <c r="E20" s="309"/>
      <c r="F20" s="310"/>
      <c r="G20" s="158"/>
      <c r="H20" s="158"/>
      <c r="I20" s="158"/>
      <c r="J20" s="158"/>
      <c r="K20" s="158"/>
      <c r="L20" s="158"/>
      <c r="M20" s="158"/>
      <c r="N20" s="158"/>
      <c r="O20" s="158"/>
      <c r="P20" s="158"/>
    </row>
    <row r="21" spans="1:16" ht="21.75" customHeight="1" x14ac:dyDescent="0.15">
      <c r="A21" s="90" t="s">
        <v>248</v>
      </c>
      <c r="B21" s="181" t="s">
        <v>515</v>
      </c>
      <c r="C21" s="90" t="s">
        <v>250</v>
      </c>
      <c r="D21" s="190" t="s">
        <v>516</v>
      </c>
      <c r="E21" s="94" t="s">
        <v>252</v>
      </c>
      <c r="F21" s="183" t="s">
        <v>517</v>
      </c>
      <c r="G21" s="158"/>
      <c r="H21" s="158"/>
      <c r="I21" s="158"/>
      <c r="J21" s="158"/>
      <c r="K21" s="158"/>
      <c r="L21" s="158"/>
      <c r="M21" s="158"/>
      <c r="N21" s="158"/>
      <c r="O21" s="158"/>
      <c r="P21" s="158"/>
    </row>
    <row r="22" spans="1:16" ht="21" customHeight="1" x14ac:dyDescent="0.15">
      <c r="A22" s="90" t="s">
        <v>277</v>
      </c>
      <c r="B22" s="190" t="s">
        <v>427</v>
      </c>
      <c r="C22" s="90" t="s">
        <v>238</v>
      </c>
      <c r="D22" s="190" t="s">
        <v>287</v>
      </c>
      <c r="E22" s="94" t="s">
        <v>283</v>
      </c>
      <c r="F22" s="186">
        <v>2012</v>
      </c>
      <c r="G22" s="158"/>
      <c r="H22" s="158"/>
      <c r="I22" s="158"/>
      <c r="J22" s="158"/>
      <c r="K22" s="158"/>
      <c r="L22" s="158"/>
      <c r="M22" s="158"/>
      <c r="N22" s="158"/>
      <c r="O22" s="158"/>
      <c r="P22" s="158"/>
    </row>
    <row r="23" spans="1:16" ht="38.25" customHeight="1" x14ac:dyDescent="0.15">
      <c r="A23" s="90" t="s">
        <v>278</v>
      </c>
      <c r="B23" s="182">
        <v>0</v>
      </c>
      <c r="C23" s="91" t="s">
        <v>249</v>
      </c>
      <c r="D23" s="185">
        <v>167.21</v>
      </c>
      <c r="E23" s="90" t="s">
        <v>269</v>
      </c>
      <c r="F23" s="187">
        <f>ROUND(YEAR(价值时点)-建成时间,0)</f>
        <v>12</v>
      </c>
      <c r="G23" s="158"/>
      <c r="H23" s="158"/>
      <c r="I23" s="158"/>
      <c r="J23" s="158"/>
      <c r="K23" s="158"/>
      <c r="L23" s="158"/>
      <c r="M23" s="158"/>
      <c r="N23" s="158"/>
      <c r="O23" s="158"/>
      <c r="P23" s="158"/>
    </row>
    <row r="24" spans="1:16" ht="26.25" customHeight="1" x14ac:dyDescent="0.15">
      <c r="A24" s="90" t="s">
        <v>279</v>
      </c>
      <c r="B24" s="183">
        <v>1213.3</v>
      </c>
      <c r="C24" s="91" t="s">
        <v>281</v>
      </c>
      <c r="D24" s="185">
        <v>266.43</v>
      </c>
      <c r="E24" s="87" t="s">
        <v>253</v>
      </c>
      <c r="F24" s="183">
        <v>16</v>
      </c>
      <c r="G24" s="158"/>
      <c r="H24" s="158"/>
      <c r="I24" s="158"/>
      <c r="J24" s="158"/>
      <c r="K24" s="158"/>
      <c r="L24" s="158"/>
      <c r="M24" s="158"/>
      <c r="N24" s="158"/>
      <c r="O24" s="158"/>
      <c r="P24" s="158"/>
    </row>
    <row r="25" spans="1:16" ht="33" customHeight="1" x14ac:dyDescent="0.15">
      <c r="A25" s="90" t="s">
        <v>280</v>
      </c>
      <c r="B25" s="191" t="s">
        <v>459</v>
      </c>
      <c r="C25" s="90" t="s">
        <v>282</v>
      </c>
      <c r="D25" s="190" t="s">
        <v>428</v>
      </c>
      <c r="E25" s="87" t="s">
        <v>222</v>
      </c>
      <c r="F25" s="188">
        <v>3</v>
      </c>
      <c r="G25" s="158"/>
      <c r="H25" s="158"/>
      <c r="I25" s="158"/>
      <c r="J25" s="158"/>
      <c r="K25" s="158"/>
      <c r="L25" s="158"/>
      <c r="M25" s="158"/>
      <c r="N25" s="158"/>
      <c r="O25" s="158"/>
      <c r="P25" s="158"/>
    </row>
    <row r="26" spans="1:16" ht="34.5" customHeight="1" x14ac:dyDescent="0.15">
      <c r="A26" s="90" t="s">
        <v>236</v>
      </c>
      <c r="B26" s="184">
        <v>55169</v>
      </c>
      <c r="C26" s="90" t="s">
        <v>251</v>
      </c>
      <c r="D26" s="183">
        <v>11</v>
      </c>
      <c r="E26" s="87" t="s">
        <v>265</v>
      </c>
      <c r="F26" s="190" t="s">
        <v>429</v>
      </c>
      <c r="G26" s="158"/>
      <c r="H26" s="158"/>
      <c r="I26" s="158"/>
      <c r="J26" s="158"/>
      <c r="K26" s="158"/>
      <c r="L26" s="158"/>
      <c r="M26" s="158"/>
      <c r="N26" s="158"/>
      <c r="O26" s="158"/>
      <c r="P26" s="158"/>
    </row>
    <row r="27" spans="1:16" ht="66" customHeight="1" x14ac:dyDescent="0.15">
      <c r="A27" s="198" t="s">
        <v>438</v>
      </c>
      <c r="B27" s="295" t="s">
        <v>475</v>
      </c>
      <c r="C27" s="295"/>
      <c r="D27" s="295"/>
      <c r="E27" s="295"/>
      <c r="F27" s="295"/>
      <c r="G27" s="158"/>
      <c r="H27" s="158"/>
      <c r="I27" s="158"/>
      <c r="J27" s="158"/>
      <c r="K27" s="158"/>
      <c r="L27" s="158"/>
      <c r="M27" s="158"/>
      <c r="N27" s="158"/>
      <c r="O27" s="158"/>
      <c r="P27" s="158"/>
    </row>
    <row r="28" spans="1:16" ht="26.25" customHeight="1" x14ac:dyDescent="0.15">
      <c r="A28" s="276" t="s">
        <v>495</v>
      </c>
      <c r="B28" s="276"/>
      <c r="C28" s="276"/>
      <c r="D28" s="276"/>
      <c r="E28" s="276"/>
      <c r="F28" s="276"/>
      <c r="G28" s="158"/>
      <c r="H28" s="158"/>
      <c r="I28" s="158"/>
      <c r="J28" s="158"/>
      <c r="K28" s="158"/>
      <c r="L28" s="158"/>
      <c r="M28" s="158"/>
      <c r="N28" s="158"/>
      <c r="O28" s="158"/>
      <c r="P28" s="158"/>
    </row>
    <row r="29" spans="1:16" ht="36" customHeight="1" x14ac:dyDescent="0.15">
      <c r="A29" s="296" t="s">
        <v>260</v>
      </c>
      <c r="B29" s="92" t="s">
        <v>258</v>
      </c>
      <c r="C29" s="281" t="s">
        <v>437</v>
      </c>
      <c r="D29" s="282"/>
      <c r="E29" s="282"/>
      <c r="F29" s="283"/>
      <c r="G29" s="158"/>
      <c r="H29" s="158"/>
      <c r="I29" s="158"/>
      <c r="J29" s="158"/>
      <c r="K29" s="158"/>
      <c r="L29" s="158"/>
      <c r="M29" s="158"/>
      <c r="N29" s="158"/>
      <c r="O29" s="158"/>
      <c r="P29" s="158"/>
    </row>
    <row r="30" spans="1:16" ht="75.75" customHeight="1" x14ac:dyDescent="0.15">
      <c r="A30" s="296"/>
      <c r="B30" s="92" t="s">
        <v>259</v>
      </c>
      <c r="C30" s="284" t="str">
        <f>IF(E30="估价委托人介绍","根据估价委托人介绍,","根据估价委托人提供的《"&amp;E30&amp;"》记载,")&amp;IF(F30="已设定抵押权利","估价对象已设定抵押并查封，本次估价未考虑抵押权因素和查封因素对估价结果产生影响",F30)</f>
        <v>根据估价委托人介绍,估价对象已设定抵押并查封，本次估价未考虑抵押权因素和查封因素对估价结果产生影响</v>
      </c>
      <c r="D30" s="285"/>
      <c r="E30" s="192" t="s">
        <v>518</v>
      </c>
      <c r="F30" s="192" t="s">
        <v>468</v>
      </c>
      <c r="G30" s="158"/>
      <c r="H30" s="158"/>
      <c r="I30" s="158"/>
      <c r="J30" s="158"/>
      <c r="K30" s="158"/>
      <c r="L30" s="158"/>
      <c r="M30" s="158"/>
      <c r="N30" s="158"/>
      <c r="O30" s="158"/>
      <c r="P30" s="158"/>
    </row>
    <row r="31" spans="1:16" ht="48.75" customHeight="1" x14ac:dyDescent="0.15">
      <c r="A31" s="278" t="s">
        <v>261</v>
      </c>
      <c r="B31" s="92" t="s">
        <v>461</v>
      </c>
      <c r="C31" s="175" t="s">
        <v>519</v>
      </c>
      <c r="D31" s="92" t="s">
        <v>462</v>
      </c>
      <c r="E31" s="286" t="s">
        <v>520</v>
      </c>
      <c r="F31" s="288"/>
      <c r="G31" s="158"/>
      <c r="H31" s="158"/>
      <c r="I31" s="158"/>
      <c r="J31" s="158"/>
      <c r="K31" s="158"/>
      <c r="L31" s="158"/>
      <c r="M31" s="158"/>
      <c r="N31" s="158"/>
      <c r="O31" s="158"/>
      <c r="P31" s="158"/>
    </row>
    <row r="32" spans="1:16" ht="48.75" customHeight="1" x14ac:dyDescent="0.15">
      <c r="A32" s="279"/>
      <c r="B32" s="92" t="s">
        <v>463</v>
      </c>
      <c r="C32" s="175" t="s">
        <v>521</v>
      </c>
      <c r="D32" s="92" t="s">
        <v>464</v>
      </c>
      <c r="E32" s="316" t="s">
        <v>522</v>
      </c>
      <c r="F32" s="288"/>
      <c r="G32" s="158"/>
      <c r="H32" s="158"/>
      <c r="I32" s="158"/>
      <c r="J32" s="158"/>
      <c r="K32" s="158"/>
      <c r="L32" s="158"/>
      <c r="M32" s="158"/>
      <c r="N32" s="158"/>
      <c r="O32" s="158"/>
      <c r="P32" s="158"/>
    </row>
    <row r="33" spans="1:16" ht="48.75" customHeight="1" x14ac:dyDescent="0.15">
      <c r="A33" s="279"/>
      <c r="B33" s="92" t="s">
        <v>465</v>
      </c>
      <c r="C33" s="286" t="s">
        <v>523</v>
      </c>
      <c r="D33" s="287"/>
      <c r="E33" s="287"/>
      <c r="F33" s="288"/>
      <c r="G33" s="158"/>
      <c r="H33" s="158"/>
      <c r="I33" s="158"/>
      <c r="J33" s="158"/>
      <c r="K33" s="158"/>
      <c r="L33" s="158"/>
      <c r="M33" s="158"/>
      <c r="N33" s="158"/>
      <c r="O33" s="158"/>
      <c r="P33" s="158"/>
    </row>
    <row r="34" spans="1:16" ht="48.75" customHeight="1" x14ac:dyDescent="0.15">
      <c r="A34" s="279"/>
      <c r="B34" s="92" t="s">
        <v>466</v>
      </c>
      <c r="C34" s="289" t="s">
        <v>524</v>
      </c>
      <c r="D34" s="290"/>
      <c r="E34" s="290"/>
      <c r="F34" s="291"/>
      <c r="G34" s="158"/>
      <c r="H34" s="158"/>
      <c r="I34" s="158"/>
      <c r="J34" s="158"/>
      <c r="K34" s="158"/>
      <c r="L34" s="158"/>
      <c r="M34" s="158"/>
      <c r="N34" s="158"/>
      <c r="O34" s="158"/>
      <c r="P34" s="158"/>
    </row>
    <row r="35" spans="1:16" ht="55.5" customHeight="1" x14ac:dyDescent="0.15">
      <c r="A35" s="279"/>
      <c r="B35" s="92" t="s">
        <v>467</v>
      </c>
      <c r="C35" s="292" t="s">
        <v>525</v>
      </c>
      <c r="D35" s="293"/>
      <c r="E35" s="293"/>
      <c r="F35" s="294"/>
      <c r="G35" s="158"/>
      <c r="H35" s="158"/>
      <c r="I35" s="158"/>
      <c r="J35" s="158"/>
      <c r="K35" s="158"/>
      <c r="L35" s="158"/>
      <c r="M35" s="158"/>
      <c r="N35" s="158"/>
      <c r="O35" s="158"/>
      <c r="P35" s="158"/>
    </row>
    <row r="36" spans="1:16" ht="64.5" customHeight="1" x14ac:dyDescent="0.15">
      <c r="A36" s="279"/>
      <c r="B36" s="92" t="s">
        <v>284</v>
      </c>
      <c r="C36" s="286" t="s">
        <v>526</v>
      </c>
      <c r="D36" s="287"/>
      <c r="E36" s="287"/>
      <c r="F36" s="288"/>
      <c r="G36" s="158"/>
      <c r="H36" s="158"/>
      <c r="I36" s="158"/>
      <c r="J36" s="158"/>
      <c r="K36" s="158"/>
      <c r="L36" s="158"/>
      <c r="M36" s="158"/>
      <c r="N36" s="158"/>
      <c r="O36" s="158"/>
      <c r="P36" s="158"/>
    </row>
    <row r="37" spans="1:16" ht="39" customHeight="1" x14ac:dyDescent="0.15">
      <c r="A37" s="278" t="s">
        <v>263</v>
      </c>
      <c r="B37" s="93" t="s">
        <v>262</v>
      </c>
      <c r="C37" s="317" t="str">
        <f>"估价对象建筑面积为"&amp;建筑面积&amp;"平方米，套内面积为"&amp;IF(OR(套内面积="",套内面积=0),"未记载",套内面积&amp;"平方米")</f>
        <v>估价对象建筑面积为266.43平方米，套内面积为167.21平方米</v>
      </c>
      <c r="D37" s="318"/>
      <c r="E37" s="318"/>
      <c r="F37" s="319"/>
      <c r="G37" s="158"/>
      <c r="H37" s="158"/>
      <c r="I37" s="158"/>
      <c r="J37" s="158"/>
      <c r="K37" s="158"/>
      <c r="L37" s="158"/>
      <c r="M37" s="158"/>
      <c r="N37" s="158"/>
      <c r="O37" s="158"/>
      <c r="P37" s="158"/>
    </row>
    <row r="38" spans="1:16" ht="60" customHeight="1" x14ac:dyDescent="0.15">
      <c r="A38" s="279"/>
      <c r="B38" s="93" t="s">
        <v>435</v>
      </c>
      <c r="C38" s="317" t="str">
        <f>"估价对象位于第28层；层高：约"&amp;层高&amp;"米；总层数：所在建筑物总楼层共"&amp;建筑物总楼层&amp;"层；所在建筑物地面总高约"&amp;ROUND(建筑物总楼层*层高,0)&amp;"米"</f>
        <v>估价对象位于第28层；层高：约3米；总层数：所在建筑物总楼层共16层；所在建筑物地面总高约48米</v>
      </c>
      <c r="D38" s="318"/>
      <c r="E38" s="318"/>
      <c r="F38" s="319"/>
      <c r="G38" s="158"/>
      <c r="H38" s="158"/>
      <c r="I38" s="158"/>
      <c r="J38" s="158"/>
      <c r="K38" s="158"/>
      <c r="L38" s="158"/>
      <c r="M38" s="158"/>
      <c r="N38" s="158"/>
      <c r="O38" s="158"/>
      <c r="P38" s="158"/>
    </row>
    <row r="39" spans="1:16" ht="59.25" customHeight="1" x14ac:dyDescent="0.15">
      <c r="A39" s="279"/>
      <c r="B39" s="93" t="s">
        <v>257</v>
      </c>
      <c r="C39" s="305" t="s">
        <v>527</v>
      </c>
      <c r="D39" s="306"/>
      <c r="E39" s="306"/>
      <c r="F39" s="307"/>
      <c r="G39" s="158"/>
      <c r="H39" s="158"/>
      <c r="I39" s="158"/>
      <c r="J39" s="158"/>
      <c r="K39" s="158"/>
      <c r="L39" s="158"/>
      <c r="M39" s="158"/>
      <c r="N39" s="158"/>
      <c r="O39" s="158"/>
      <c r="P39" s="158"/>
    </row>
    <row r="40" spans="1:16" ht="48.75" customHeight="1" x14ac:dyDescent="0.15">
      <c r="A40" s="279"/>
      <c r="B40" s="93" t="s">
        <v>285</v>
      </c>
      <c r="C40" s="303" t="str">
        <f>"外墙为"&amp;外墙&amp;"，入户防盗门，室内客厅地面铺地砖，墙面刷漆，天棚吊顶，卧室地面铺木地板，墙面刷漆，天棚刷漆；厨卫：地面铺地砖，内墙瓷砖至顶，扣板吊顶"</f>
        <v>外墙为外墙漆，入户防盗门，室内客厅地面铺地砖，墙面刷漆，天棚吊顶，卧室地面铺木地板，墙面刷漆，天棚刷漆；厨卫：地面铺地砖，内墙瓷砖至顶，扣板吊顶</v>
      </c>
      <c r="D40" s="312"/>
      <c r="E40" s="312"/>
      <c r="F40" s="304"/>
      <c r="G40" s="158"/>
      <c r="H40" s="158"/>
      <c r="I40" s="158"/>
      <c r="J40" s="158"/>
      <c r="K40" s="158"/>
      <c r="L40" s="158"/>
      <c r="M40" s="158"/>
      <c r="N40" s="158"/>
      <c r="O40" s="158"/>
      <c r="P40" s="158"/>
    </row>
    <row r="41" spans="1:16" ht="48.75" customHeight="1" x14ac:dyDescent="0.15">
      <c r="A41" s="279"/>
      <c r="B41" s="93" t="s">
        <v>256</v>
      </c>
      <c r="C41" s="303" t="s">
        <v>528</v>
      </c>
      <c r="D41" s="312"/>
      <c r="E41" s="312"/>
      <c r="F41" s="304"/>
      <c r="G41" s="158"/>
      <c r="H41" s="158"/>
      <c r="I41" s="158"/>
      <c r="J41" s="158"/>
      <c r="K41" s="158"/>
      <c r="L41" s="158"/>
      <c r="M41" s="158"/>
      <c r="N41" s="158"/>
      <c r="O41" s="158"/>
      <c r="P41" s="158"/>
    </row>
    <row r="42" spans="1:16" ht="48.75" customHeight="1" x14ac:dyDescent="0.15">
      <c r="A42" s="279"/>
      <c r="B42" s="93" t="s">
        <v>436</v>
      </c>
      <c r="C42" s="303" t="str">
        <f>"外墙面为"&amp;外墙&amp;"，外观一般"</f>
        <v>外墙面为外墙漆，外观一般</v>
      </c>
      <c r="D42" s="312"/>
      <c r="E42" s="312"/>
      <c r="F42" s="304"/>
      <c r="G42" s="158"/>
      <c r="H42" s="158"/>
      <c r="I42" s="158"/>
      <c r="J42" s="158"/>
      <c r="K42" s="158"/>
      <c r="L42" s="158"/>
      <c r="M42" s="158"/>
      <c r="N42" s="158"/>
      <c r="O42" s="158"/>
      <c r="P42" s="158"/>
    </row>
    <row r="43" spans="1:16" ht="39" customHeight="1" x14ac:dyDescent="0.15">
      <c r="A43" s="279"/>
      <c r="B43" s="93" t="s">
        <v>286</v>
      </c>
      <c r="C43" s="305" t="str">
        <f>"建成年份：约为"&amp;建成时间&amp;"年；维护及完损状况：地基稳定，承重构件完好，无不均匀沉降，墙面、地面、门窗无破损情况，使用维护正常"</f>
        <v>建成年份：约为2012年；维护及完损状况：地基稳定，承重构件完好，无不均匀沉降，墙面、地面、门窗无破损情况，使用维护正常</v>
      </c>
      <c r="D43" s="306"/>
      <c r="E43" s="306"/>
      <c r="F43" s="307"/>
      <c r="G43" s="158"/>
      <c r="H43" s="158"/>
      <c r="I43" s="158"/>
      <c r="J43" s="158"/>
      <c r="K43" s="158"/>
      <c r="L43" s="158"/>
      <c r="M43" s="158"/>
      <c r="N43" s="158"/>
      <c r="O43" s="158"/>
      <c r="P43" s="158"/>
    </row>
    <row r="44" spans="1:16" ht="39" customHeight="1" x14ac:dyDescent="0.15">
      <c r="A44" s="280"/>
      <c r="B44" s="93" t="s">
        <v>460</v>
      </c>
      <c r="C44" s="313" t="s">
        <v>529</v>
      </c>
      <c r="D44" s="314"/>
      <c r="E44" s="314"/>
      <c r="F44" s="315"/>
      <c r="G44" s="158"/>
      <c r="H44" s="158"/>
      <c r="I44" s="158"/>
      <c r="J44" s="158"/>
      <c r="K44" s="158"/>
      <c r="L44" s="158"/>
      <c r="M44" s="158"/>
      <c r="N44" s="158"/>
      <c r="O44" s="158"/>
      <c r="P44" s="158"/>
    </row>
    <row r="45" spans="1:16" ht="48.75" customHeight="1" x14ac:dyDescent="0.15">
      <c r="A45" s="296" t="s">
        <v>264</v>
      </c>
      <c r="B45" s="93" t="s">
        <v>266</v>
      </c>
      <c r="C45" s="174" t="s">
        <v>530</v>
      </c>
      <c r="D45" s="93" t="s">
        <v>254</v>
      </c>
      <c r="E45" s="303" t="s">
        <v>476</v>
      </c>
      <c r="F45" s="304"/>
      <c r="G45" s="158"/>
      <c r="H45" s="158"/>
      <c r="I45" s="158"/>
      <c r="J45" s="158"/>
      <c r="K45" s="158"/>
      <c r="L45" s="158"/>
      <c r="M45" s="158"/>
      <c r="N45" s="158"/>
      <c r="O45" s="158"/>
      <c r="P45" s="158"/>
    </row>
    <row r="46" spans="1:16" ht="52.5" customHeight="1" x14ac:dyDescent="0.15">
      <c r="A46" s="296"/>
      <c r="B46" s="93" t="s">
        <v>432</v>
      </c>
      <c r="C46" s="176" t="s">
        <v>433</v>
      </c>
      <c r="D46" s="93" t="s">
        <v>267</v>
      </c>
      <c r="E46" s="305" t="s">
        <v>434</v>
      </c>
      <c r="F46" s="307"/>
      <c r="G46" s="158"/>
      <c r="H46" s="158"/>
      <c r="I46" s="158"/>
      <c r="J46" s="158"/>
      <c r="K46" s="158"/>
      <c r="L46" s="158"/>
      <c r="M46" s="158"/>
      <c r="N46" s="158"/>
      <c r="O46" s="158"/>
      <c r="P46" s="158"/>
    </row>
    <row r="47" spans="1:16" ht="41.25" customHeight="1" x14ac:dyDescent="0.15">
      <c r="A47" s="296"/>
      <c r="B47" s="93" t="s">
        <v>430</v>
      </c>
      <c r="C47" s="305" t="s">
        <v>431</v>
      </c>
      <c r="D47" s="306"/>
      <c r="E47" s="306"/>
      <c r="F47" s="307"/>
      <c r="G47" s="158"/>
      <c r="H47" s="158"/>
      <c r="I47" s="158"/>
      <c r="J47" s="158"/>
      <c r="K47" s="158"/>
      <c r="L47" s="158"/>
      <c r="M47" s="158"/>
      <c r="N47" s="158"/>
      <c r="O47" s="158"/>
      <c r="P47" s="158"/>
    </row>
    <row r="48" spans="1:16" ht="36" customHeight="1" x14ac:dyDescent="0.15">
      <c r="A48" s="296"/>
      <c r="B48" s="93" t="s">
        <v>255</v>
      </c>
      <c r="C48" s="305" t="s">
        <v>485</v>
      </c>
      <c r="D48" s="306"/>
      <c r="E48" s="306"/>
      <c r="F48" s="307"/>
      <c r="G48" s="158"/>
      <c r="H48" s="158"/>
      <c r="I48" s="158"/>
      <c r="J48" s="158"/>
      <c r="K48" s="158"/>
      <c r="L48" s="158"/>
      <c r="M48" s="158"/>
      <c r="N48" s="158"/>
      <c r="O48" s="158"/>
      <c r="P48" s="158"/>
    </row>
    <row r="49" spans="1:23" ht="36" customHeight="1" x14ac:dyDescent="0.15">
      <c r="A49" s="171"/>
      <c r="B49" s="172"/>
      <c r="C49" s="173"/>
      <c r="D49" s="173"/>
      <c r="E49" s="173"/>
      <c r="F49" s="173"/>
      <c r="G49" s="158"/>
    </row>
    <row r="50" spans="1:23" ht="27" customHeight="1" x14ac:dyDescent="0.15">
      <c r="A50" s="272" t="s">
        <v>496</v>
      </c>
      <c r="B50" s="272"/>
      <c r="C50" s="272"/>
      <c r="D50" s="272"/>
      <c r="E50" s="272"/>
      <c r="F50" s="272"/>
    </row>
    <row r="51" spans="1:23" ht="28.5" customHeight="1" x14ac:dyDescent="0.15">
      <c r="A51" s="266" t="s">
        <v>270</v>
      </c>
      <c r="B51" s="266"/>
      <c r="C51" s="266"/>
      <c r="D51" s="266"/>
      <c r="E51" s="266"/>
      <c r="F51" s="266"/>
      <c r="G51" s="232"/>
      <c r="H51" s="232"/>
      <c r="I51" s="220"/>
      <c r="J51" s="220"/>
      <c r="K51" s="220"/>
      <c r="L51" s="220"/>
      <c r="M51" s="220"/>
      <c r="N51" s="220"/>
    </row>
    <row r="52" spans="1:23" ht="32.25" x14ac:dyDescent="0.15">
      <c r="A52" s="275" t="s">
        <v>205</v>
      </c>
      <c r="B52" s="275"/>
      <c r="C52" s="275"/>
      <c r="D52" s="275"/>
      <c r="E52" s="275"/>
      <c r="F52" s="275"/>
      <c r="G52" s="233"/>
      <c r="H52" s="321" t="s">
        <v>206</v>
      </c>
      <c r="I52" s="321"/>
      <c r="J52" s="321"/>
      <c r="K52" s="321"/>
      <c r="L52" s="321"/>
      <c r="M52" s="321"/>
      <c r="N52" s="321"/>
      <c r="O52" s="321"/>
      <c r="W52" s="73"/>
    </row>
    <row r="53" spans="1:23" ht="40.5" customHeight="1" x14ac:dyDescent="0.15">
      <c r="A53" s="273" t="s">
        <v>207</v>
      </c>
      <c r="B53" s="273"/>
      <c r="C53" s="74" t="s">
        <v>306</v>
      </c>
      <c r="D53" s="74" t="s">
        <v>307</v>
      </c>
      <c r="E53" s="74" t="s">
        <v>208</v>
      </c>
      <c r="F53" s="74" t="s">
        <v>209</v>
      </c>
      <c r="H53" s="273" t="s">
        <v>207</v>
      </c>
      <c r="I53" s="273"/>
      <c r="J53" s="74" t="s">
        <v>311</v>
      </c>
      <c r="K53" s="74" t="s">
        <v>307</v>
      </c>
      <c r="L53" s="74" t="s">
        <v>208</v>
      </c>
      <c r="M53" s="74" t="s">
        <v>209</v>
      </c>
      <c r="N53" s="76" t="s">
        <v>312</v>
      </c>
      <c r="O53" s="227" t="s">
        <v>210</v>
      </c>
    </row>
    <row r="54" spans="1:23" ht="61.5" customHeight="1" x14ac:dyDescent="0.15">
      <c r="A54" s="273" t="s">
        <v>211</v>
      </c>
      <c r="B54" s="273"/>
      <c r="C54" s="224" t="str">
        <f>坐落</f>
        <v>渝中区长江一路79号15-1、15-6#</v>
      </c>
      <c r="D54" s="110" t="s">
        <v>531</v>
      </c>
      <c r="E54" s="110" t="s">
        <v>531</v>
      </c>
      <c r="F54" s="110" t="s">
        <v>531</v>
      </c>
      <c r="G54" s="228"/>
      <c r="H54" s="273" t="str">
        <f t="shared" ref="H54:H61" si="0">A54</f>
        <v>坐落</v>
      </c>
      <c r="I54" s="273"/>
      <c r="J54" s="72" t="str">
        <f t="shared" ref="J54:M58" si="1">C54</f>
        <v>渝中区长江一路79号15-1、15-6#</v>
      </c>
      <c r="K54" s="72" t="str">
        <f t="shared" si="1"/>
        <v>渝中区长江一路79号</v>
      </c>
      <c r="L54" s="72" t="str">
        <f t="shared" si="1"/>
        <v>渝中区长江一路79号</v>
      </c>
      <c r="M54" s="72" t="str">
        <f t="shared" si="1"/>
        <v>渝中区长江一路79号</v>
      </c>
      <c r="N54" s="76" t="s">
        <v>212</v>
      </c>
      <c r="O54" s="76" t="s">
        <v>212</v>
      </c>
    </row>
    <row r="55" spans="1:23" ht="23.25" customHeight="1" x14ac:dyDescent="0.15">
      <c r="A55" s="273" t="s">
        <v>213</v>
      </c>
      <c r="B55" s="273"/>
      <c r="C55" s="110" t="str">
        <f>小区名称</f>
        <v>E动力广场</v>
      </c>
      <c r="D55" s="110" t="str">
        <f>小区名称</f>
        <v>E动力广场</v>
      </c>
      <c r="E55" s="110" t="str">
        <f>小区名称</f>
        <v>E动力广场</v>
      </c>
      <c r="F55" s="110" t="str">
        <f>小区名称</f>
        <v>E动力广场</v>
      </c>
      <c r="G55" s="228"/>
      <c r="H55" s="273" t="str">
        <f t="shared" si="0"/>
        <v>物业名称</v>
      </c>
      <c r="I55" s="273"/>
      <c r="J55" s="72" t="str">
        <f t="shared" si="1"/>
        <v>E动力广场</v>
      </c>
      <c r="K55" s="72" t="str">
        <f t="shared" si="1"/>
        <v>E动力广场</v>
      </c>
      <c r="L55" s="72" t="str">
        <f t="shared" si="1"/>
        <v>E动力广场</v>
      </c>
      <c r="M55" s="72" t="str">
        <f t="shared" si="1"/>
        <v>E动力广场</v>
      </c>
      <c r="N55" s="76" t="s">
        <v>212</v>
      </c>
      <c r="O55" s="76" t="s">
        <v>212</v>
      </c>
    </row>
    <row r="56" spans="1:23" ht="23.25" customHeight="1" x14ac:dyDescent="0.15">
      <c r="A56" s="273" t="s">
        <v>214</v>
      </c>
      <c r="B56" s="273"/>
      <c r="C56" s="223">
        <f>建筑物总楼层</f>
        <v>16</v>
      </c>
      <c r="D56" s="111">
        <f>估价对象建筑总楼层</f>
        <v>16</v>
      </c>
      <c r="E56" s="111">
        <f>估价对象建筑总楼层</f>
        <v>16</v>
      </c>
      <c r="F56" s="111">
        <f>估价对象建筑总楼层</f>
        <v>16</v>
      </c>
      <c r="G56" s="228"/>
      <c r="H56" s="273" t="str">
        <f t="shared" si="0"/>
        <v>建筑总楼层</v>
      </c>
      <c r="I56" s="273"/>
      <c r="J56" s="72">
        <f t="shared" si="1"/>
        <v>16</v>
      </c>
      <c r="K56" s="72">
        <f t="shared" si="1"/>
        <v>16</v>
      </c>
      <c r="L56" s="72">
        <f t="shared" si="1"/>
        <v>16</v>
      </c>
      <c r="M56" s="72">
        <f t="shared" si="1"/>
        <v>16</v>
      </c>
      <c r="N56" s="76" t="s">
        <v>212</v>
      </c>
      <c r="O56" s="76" t="s">
        <v>212</v>
      </c>
    </row>
    <row r="57" spans="1:23" ht="23.25" customHeight="1" x14ac:dyDescent="0.15">
      <c r="A57" s="273" t="s">
        <v>215</v>
      </c>
      <c r="B57" s="273"/>
      <c r="C57" s="224" t="s">
        <v>216</v>
      </c>
      <c r="D57" s="110">
        <v>91</v>
      </c>
      <c r="E57" s="110">
        <v>99</v>
      </c>
      <c r="F57" s="110">
        <v>91</v>
      </c>
      <c r="G57" s="228"/>
      <c r="H57" s="273" t="str">
        <f t="shared" si="0"/>
        <v>总价（万元）</v>
      </c>
      <c r="I57" s="273"/>
      <c r="J57" s="72" t="str">
        <f t="shared" si="1"/>
        <v>待定</v>
      </c>
      <c r="K57" s="72">
        <f t="shared" si="1"/>
        <v>91</v>
      </c>
      <c r="L57" s="72">
        <f t="shared" si="1"/>
        <v>99</v>
      </c>
      <c r="M57" s="72">
        <f t="shared" si="1"/>
        <v>91</v>
      </c>
      <c r="N57" s="76" t="s">
        <v>212</v>
      </c>
      <c r="O57" s="76" t="s">
        <v>212</v>
      </c>
    </row>
    <row r="58" spans="1:23" ht="23.25" customHeight="1" x14ac:dyDescent="0.15">
      <c r="A58" s="273" t="s">
        <v>28</v>
      </c>
      <c r="B58" s="273"/>
      <c r="C58" s="224" t="s">
        <v>216</v>
      </c>
      <c r="D58" s="224">
        <f>ROUND(D57/D81*10000,0)</f>
        <v>9160</v>
      </c>
      <c r="E58" s="224">
        <f>ROUND(E57/E81*10000,0)</f>
        <v>9925</v>
      </c>
      <c r="F58" s="224">
        <f>ROUND(F57/F81*10000,0)</f>
        <v>9122</v>
      </c>
      <c r="G58" s="228"/>
      <c r="H58" s="273" t="str">
        <f t="shared" si="0"/>
        <v>单价（元/平方米）</v>
      </c>
      <c r="I58" s="273"/>
      <c r="J58" s="72" t="str">
        <f t="shared" si="1"/>
        <v>待定</v>
      </c>
      <c r="K58" s="72">
        <f t="shared" si="1"/>
        <v>9160</v>
      </c>
      <c r="L58" s="72">
        <f t="shared" si="1"/>
        <v>9925</v>
      </c>
      <c r="M58" s="72">
        <f t="shared" si="1"/>
        <v>9122</v>
      </c>
      <c r="N58" s="76" t="s">
        <v>212</v>
      </c>
      <c r="O58" s="76" t="s">
        <v>212</v>
      </c>
    </row>
    <row r="59" spans="1:23" ht="38.25" customHeight="1" x14ac:dyDescent="0.15">
      <c r="A59" s="274" t="s">
        <v>30</v>
      </c>
      <c r="B59" s="274"/>
      <c r="C59" s="224" t="s">
        <v>0</v>
      </c>
      <c r="D59" s="112">
        <v>45292</v>
      </c>
      <c r="E59" s="112">
        <v>45292</v>
      </c>
      <c r="F59" s="112">
        <v>45292</v>
      </c>
      <c r="H59" s="273" t="str">
        <f t="shared" si="0"/>
        <v>市场状况调整</v>
      </c>
      <c r="I59" s="273"/>
      <c r="J59" s="72">
        <v>100</v>
      </c>
      <c r="K59" s="72">
        <v>100</v>
      </c>
      <c r="L59" s="72">
        <v>100</v>
      </c>
      <c r="M59" s="72">
        <v>100</v>
      </c>
      <c r="N59" s="76" t="s">
        <v>212</v>
      </c>
      <c r="O59" s="146" t="s">
        <v>202</v>
      </c>
    </row>
    <row r="60" spans="1:23" ht="38.25" customHeight="1" x14ac:dyDescent="0.15">
      <c r="A60" s="274" t="s">
        <v>19</v>
      </c>
      <c r="B60" s="274"/>
      <c r="C60" s="224" t="s">
        <v>217</v>
      </c>
      <c r="D60" s="76" t="s">
        <v>217</v>
      </c>
      <c r="E60" s="76" t="s">
        <v>217</v>
      </c>
      <c r="F60" s="76" t="s">
        <v>31</v>
      </c>
      <c r="H60" s="273" t="str">
        <f t="shared" si="0"/>
        <v>交易情况</v>
      </c>
      <c r="I60" s="273"/>
      <c r="J60" s="72">
        <v>100</v>
      </c>
      <c r="K60" s="72">
        <v>100</v>
      </c>
      <c r="L60" s="72">
        <v>100</v>
      </c>
      <c r="M60" s="72">
        <v>100</v>
      </c>
      <c r="N60" s="76" t="s">
        <v>212</v>
      </c>
      <c r="O60" s="145" t="s">
        <v>202</v>
      </c>
    </row>
    <row r="61" spans="1:23" ht="85.5" customHeight="1" x14ac:dyDescent="0.15">
      <c r="A61" s="273" t="s">
        <v>308</v>
      </c>
      <c r="B61" s="80" t="s">
        <v>33</v>
      </c>
      <c r="C61" s="224" t="s">
        <v>191</v>
      </c>
      <c r="D61" s="224" t="s">
        <v>191</v>
      </c>
      <c r="E61" s="224" t="s">
        <v>191</v>
      </c>
      <c r="F61" s="224" t="s">
        <v>191</v>
      </c>
      <c r="H61" s="298" t="str">
        <f t="shared" si="0"/>
        <v>区位状况</v>
      </c>
      <c r="I61" s="74" t="str">
        <f>区位状况自然环境</f>
        <v>自然环境</v>
      </c>
      <c r="J61" s="72">
        <v>100</v>
      </c>
      <c r="K61" s="72">
        <f>100-IF($C61="环境优美",100,IF($C61="环境较好",100-$N61,IF($C61="环境一般",100-2*$N61,IF($C61="环境较差",100-3*$N61,IF($C61="环境差",100-4*$N61)))))+IF(D61="环境优美",100,IF(D61="环境较好",100-$N61,IF(D61="环境一般",100-2*$N61,IF(D61="环境较差",100-3*$N61,IF(D61="环境差",100-4*$N61)))))</f>
        <v>100</v>
      </c>
      <c r="L61" s="72">
        <f>100-IF($C61="环境优美",100,IF($C61="环境较好",100-$N61,IF($C61="环境一般",100-2*$N61,IF($C61="环境较差",100-3*$N61,IF($C61="环境差",100-4*$N61)))))+IF(E61="环境优美",100,IF(E61="环境较好",100-$N61,IF(E61="环境一般",100-2*$N61,IF(E61="环境较差",100-3*$N61,IF(E61="环境差",100-4*$N61)))))</f>
        <v>100</v>
      </c>
      <c r="M61" s="72">
        <f>100-IF($C61="环境优美",100,IF($C61="环境较好",100-$N61,IF($C61="环境一般",100-2*$N61,IF($C61="环境较差",100-3*$N61,IF($C61="环境差",100-4*$N61)))))+IF(F61="环境优美",100,IF(F61="环境较好",100-$N61,IF(F61="环境一般",100-2*$N61,IF(F61="环境较差",100-3*$N61,IF(F61="环境差",100-4*$N61)))))</f>
        <v>100</v>
      </c>
      <c r="N61" s="76">
        <v>3</v>
      </c>
      <c r="O61" s="145" t="str">
        <f>"将"&amp;B61&amp;"分为环境优美,环境较好,环境一般,环境较差,环境差五个级别，以估价对象为基准（100），将可比实例与估价对象相比，每上升或下降一个级别，则将指数增加或减少"&amp;N61&amp;IF(AND(C61=D61,D61=E61,E61=F61),"，估价对象和可比实例A、B、C相比均为"&amp;C61&amp;"，故修正系数均为100。","。估价对象"&amp;B61&amp;"为"&amp;C61&amp;",可比实例A为"&amp;D61&amp;"、可比实例B为"&amp;E61&amp;"、可比实例C为"&amp;F61&amp;";可比实例A与估价对象相比"&amp;IF(K61-$J61=0,"相似",IF(K61-$J61=$N61,"较好",IF(K61-$J61=2*$N61,"好",IF(K61-$J61&gt;=3*$N61,"更好",IF(K61-$J61=-$N61,"较差",IF(K61-$J61=-2*$N61,"差",IF(K61-$J61&lt;=-3*$N61,"更差")))))))&amp;"，可比实例B与估价对象相比"&amp;IF(L61-$J61=0,"相似",IF(L61-$J61=$N61,"较好",IF(L61-$J61=2*$N61,"好",IF(L61-$J61&gt;=3*$N61,"更好",IF(L61-$J61=-$N61,"较差",IF(L61-$J61=-2*$N61,"差",IF(L61-$J61&lt;=-3*$N61,"更差")))))))&amp;"，可比实例C与估价对象相比"&amp;IF(M61-$J61=0,"相似",IF(M61-$J61=$N61,"较好",IF(M61-$J61=2*$N61,"好",IF(M61-$J61&gt;=3*$N61,"更好",IF(M61-$J61=-$N61,"较差",IF(M61-$J61=-2*$N61,"差",IF(M61-$J61&lt;=-3*$N61,"更差")))))))&amp;",故修正系数为"&amp;K61&amp;"、"&amp;L61&amp;"、"&amp;M61&amp;"。")</f>
        <v>将自然环境分为环境优美,环境较好,环境一般,环境较差,环境差五个级别，以估价对象为基准（100），将可比实例与估价对象相比，每上升或下降一个级别，则将指数增加或减少3，估价对象和可比实例A、B、C相比均为环境优美，故修正系数均为100。</v>
      </c>
    </row>
    <row r="62" spans="1:23" ht="66" customHeight="1" x14ac:dyDescent="0.15">
      <c r="A62" s="273"/>
      <c r="B62" s="80" t="s">
        <v>35</v>
      </c>
      <c r="C62" s="224" t="s">
        <v>45</v>
      </c>
      <c r="D62" s="224" t="s">
        <v>45</v>
      </c>
      <c r="E62" s="224" t="s">
        <v>45</v>
      </c>
      <c r="F62" s="224" t="s">
        <v>45</v>
      </c>
      <c r="H62" s="299"/>
      <c r="I62" s="74" t="str">
        <f>区位状况社会人文环境</f>
        <v>社会人文环境</v>
      </c>
      <c r="J62" s="72">
        <v>100</v>
      </c>
      <c r="K62" s="72">
        <f t="shared" ref="K62:M63" si="2">100-IF($C62="好",100,IF($C62="较好",100-$N62,IF($C62="一般",100-2*$N62,IF($C62="较差",100-3*$N62,IF($C62="差",100-4*$N62)))))+IF(D62="好",100,IF(D62="较好",100-$N62,IF(D62="一般",100-2*$N62,IF(D62="较差",100-3*$N62,IF(D62="差",100-4*$N62)))))</f>
        <v>100</v>
      </c>
      <c r="L62" s="72">
        <f t="shared" si="2"/>
        <v>100</v>
      </c>
      <c r="M62" s="72">
        <f t="shared" si="2"/>
        <v>100</v>
      </c>
      <c r="N62" s="76">
        <v>3</v>
      </c>
      <c r="O62" s="145" t="str">
        <f>"将"&amp;B62&amp;"分为好、较好、一般、较差、差五个级别，以估价对象为基准（100），将可比实例与估价对象相比，每上升或下降一个级别，则将指数增加或减少"&amp;N62&amp;IF(AND(C62=D62,D62=E62,E62=F62),"，估价对象和可比实例A、B、C相比均为"&amp;C62&amp;"，故修正系数均为100。","。估价对象"&amp;B62&amp;"为"&amp;C62&amp;",可比实例A为"&amp;D62&amp;"、可比实例B为"&amp;E62&amp;"、可比实例C为"&amp;F62&amp;";可比实例A与估价对象相比"&amp;IF(K62-$J62=0,"相似",IF(K62-$J62=$N62,"较好",IF(K62-$J62=2*$N62,"好",IF(K62-$J62&gt;=3*$N62,"更好",IF(K62-$J62=-$N62,"较差",IF(K62-$J62=-2*$N62,"差",IF(K62-$J62&lt;=-3*$N62,"更差")))))))&amp;"，可比实例B与估价对象相比"&amp;IF(L62-$J62=0,"相似",IF(L62-$J62=$N62,"较好",IF(L62-$J62=2*$N62,"好",IF(L62-$J62&gt;=3*$N62,"更好",IF(L62-$J62=-$N62,"较差",IF(L62-$J62=-2*$N62,"差",IF(L62-$J62&lt;=-3*$N62,"更差")))))))&amp;"可比实例C与估价对象相比"&amp;IF(M62-$J62=0,"相似",IF(M62-$J62=$N62,"较好",IF(M62-$J62=2*$N62,"好",IF(M62-$J62&gt;=3*$N62,"更好",IF(M62-$J62=-$N62,"较差",IF(M62-$J62=-2*$N62,"差",IF(M62-$J62&lt;=-3*$N62,"更差")))))))&amp;",故修正系数为"&amp;K62&amp;"、"&amp;L62&amp;"、"&amp;M62&amp;"。")</f>
        <v>将社会人文环境分为好、较好、一般、较差、差五个级别，以估价对象为基准（100），将可比实例与估价对象相比，每上升或下降一个级别，则将指数增加或减少3，估价对象和可比实例A、B、C相比均为好，故修正系数均为100。</v>
      </c>
    </row>
    <row r="63" spans="1:23" ht="68.25" customHeight="1" x14ac:dyDescent="0.15">
      <c r="A63" s="273"/>
      <c r="B63" s="80" t="s">
        <v>218</v>
      </c>
      <c r="C63" s="224" t="s">
        <v>45</v>
      </c>
      <c r="D63" s="224" t="s">
        <v>45</v>
      </c>
      <c r="E63" s="224" t="s">
        <v>192</v>
      </c>
      <c r="F63" s="224" t="s">
        <v>45</v>
      </c>
      <c r="H63" s="299"/>
      <c r="I63" s="74" t="str">
        <f>区位状况景观</f>
        <v>景观</v>
      </c>
      <c r="J63" s="72">
        <v>100</v>
      </c>
      <c r="K63" s="72">
        <f t="shared" si="2"/>
        <v>100</v>
      </c>
      <c r="L63" s="72">
        <f t="shared" si="2"/>
        <v>100</v>
      </c>
      <c r="M63" s="72">
        <f t="shared" si="2"/>
        <v>100</v>
      </c>
      <c r="N63" s="76">
        <v>3</v>
      </c>
      <c r="O63" s="145" t="str">
        <f>"将"&amp;B63&amp;"分为好、较好、一般、较差、差五个级别，以估价对象为基准（100），将可比实例与估价对象相比，每上升或下降一个级别，则将指数增加或减少"&amp;N63&amp;IF(AND(C63=D63,D63=E63,E63=F63),"，估价对象和可比实例A、B、C相比均为"&amp;C63&amp;"，故修正系数均为100。","。估价对象"&amp;B63&amp;"为"&amp;C63&amp;",可比实例A为"&amp;D63&amp;"、可比实例B为"&amp;E63&amp;"、可比实例C为"&amp;F63&amp;";可比实例A与估价对象相比"&amp;IF(K63-$J63=0,"相似",IF(K63-$J63=$N63,"较好",IF(K63-$J63=2*$N63,"好",IF(K63-$J63&gt;=3*$N63,"更好",IF(K63-$J63=-$N63,"较差",IF(K63-$J63=-2*$N63,"差",IF(K63-$J63&lt;=-3*$N63,"更差")))))))&amp;"、可比实例B与估价对象相比"&amp;IF(L63-$J63=0,"相似",IF(L63-$J63=$N63,"较好",IF(L63-$J63=2*$N63,"好",IF(L63-$J63&gt;=3*$N63,"更好",IF(L63-$J63=-$N63,"较差",IF(L63-$J63=-2*$N63,"差",IF(L63-$J63&lt;=-3*$N63,"更差")))))))&amp;"，可比实例C与估价对象相比"&amp;IF(M63-$J63=0,"相似",IF(M63-$J63=$N63,"较好",IF(M63-$J63=2*$N63,"好",IF(M63-$J63&gt;=3*$N63,"更好",IF(M63-$J63=-$N63,"较差",IF(M63-$J63=-2*$N63,"差",IF(M63-$J63&lt;=-3*$N63,"更差")))))))&amp;",故修正系数为"&amp;K63&amp;"、"&amp;L63&amp;"、"&amp;M63&amp;"。")</f>
        <v>将景观分为好、较好、一般、较差、差五个级别，以估价对象为基准（100），将可比实例与估价对象相比，每上升或下降一个级别，则将指数增加或减少3，估价对象和可比实例A、B、C相比均为好，故修正系数均为100。</v>
      </c>
    </row>
    <row r="64" spans="1:23" ht="59.25" customHeight="1" x14ac:dyDescent="0.15">
      <c r="A64" s="273"/>
      <c r="B64" s="80" t="s">
        <v>37</v>
      </c>
      <c r="C64" s="76" t="s">
        <v>193</v>
      </c>
      <c r="D64" s="76" t="s">
        <v>193</v>
      </c>
      <c r="E64" s="76" t="s">
        <v>193</v>
      </c>
      <c r="F64" s="76" t="s">
        <v>193</v>
      </c>
      <c r="H64" s="299"/>
      <c r="I64" s="74" t="str">
        <f>区位状况距区域商业中心的距离</f>
        <v>距区域商业中心的距离</v>
      </c>
      <c r="J64" s="72">
        <v>100</v>
      </c>
      <c r="K64" s="72">
        <f>100-IF($C64="小于500m",100,IF($C64="500-1000m",100-$N64,IF($C64="1000-2000m",100-2*$N64,IF($C64="2000-4000m",100-3*$N64,IF($C64="大于4000m",100-4*$N64)))))+IF(D64="小于500m",100,IF(D64="500-1000m",100-$N64,IF(D64="1000-2000m",100-2*$N64,IF(D64="2000-4000m",100-3*$N64,IF(D64="大于4000m",100-4*$N64)))))</f>
        <v>100</v>
      </c>
      <c r="L64" s="72">
        <f>100-IF($C64="小于500m",100,IF($C64="500-1000m",100-$N64,IF($C64="1000-2000m",100-2*$N64,IF($C64="2000-4000m",100-3*$N64,IF($C64="大于4000m",100-4*$N64)))))+IF(E64="小于500m",100,IF(E64="500-1000m",100-$N64,IF(E64="1000-2000m",100-2*$N64,IF(E64="2000-4000m",100-3*$N64,IF(E64="大于4000m",100-4*$N64)))))</f>
        <v>100</v>
      </c>
      <c r="M64" s="72">
        <f>100-IF($C64="小于500m",100,IF($C64="500-1000m",100-$N64,IF($C64="1000-2000m",100-2*$N64,IF($C64="2000-4000m",100-3*$N64,IF($C64="大于4000m",100-4*$N64)))))+IF(F64="小于500m",100,IF(F64="500-1000m",100-$N64,IF(F64="1000-2000m",100-2*$N64,IF(F64="2000-4000m",100-3*$N64,IF(F64="大于4000m",100-4*$N64)))))</f>
        <v>100</v>
      </c>
      <c r="N64" s="76">
        <v>3</v>
      </c>
      <c r="O64" s="145" t="str">
        <f>"将"&amp;B64&amp;"分为好、较好、一般、较差、差五个级别，以估价对象为基准（100），将可比实例与估价对象相比，每上升或下降一个级别，则将指数增加或减少"&amp;N64&amp;IF(AND(C64=D64,D64=E64,E64=F64),",估价对象和可比实例A、B、C相比均为"&amp;C64&amp;"，故修正系数均为100。","。估价对象"&amp;B64&amp;"为"&amp;C64&amp;",可比实例A为"&amp;D64&amp;"、可比实例B为"&amp;E64&amp;"、可比实例C为"&amp;F64&amp;";可比实例A与估价对象相比"&amp;IF(K64-$J64=0,"相似",IF(K64-$J64=$N64,"较好",IF(K64-$J64=2*$N64,"好",IF(K64-$J64&gt;=3*$N64,"更好",IF(K64-$J64=-$N64,"较差",IF(K64-$J64=-2*$N64,"差",IF(K64-$J64&lt;=-3*$N64,"更差")))))))&amp;"、可比实例B与估价对象相比"&amp;IF(L64-$J64=0,"相似",IF(L64-$J64=$N64,"较好",IF(L64-$J64=2*$N64,"好",IF(L64-$J64&gt;=3*$N64,"更好",IF(L64-$J64=-$N64,"较差",IF(L64-$J64=-2*$N64,"差",IF(L64-$J64&lt;=-3*$N64,"更差")))))))&amp;"，可比实例C与估价对象相比"&amp;IF(M64-$J64=0,"相似",IF(M64-$J64=$N64,"较好",IF(M64-$J64=2*$N64,"好",IF(M64-$J64&gt;=3*$N64,"更好",IF(M64-$J64=-$N64,"较差",IF(M64-$J64=-2*$N64,"差",IF(M64-$J64&lt;=-3*$N64,"更差")))))))&amp;",故修正系数为"&amp;K64&amp;"、"&amp;L64&amp;"、"&amp;M64&amp;"。")</f>
        <v>将距区域商业中心的距离分为好、较好、一般、较差、差五个级别，以估价对象为基准（100），将可比实例与估价对象相比，每上升或下降一个级别，则将指数增加或减少3,估价对象和可比实例A、B、C相比均为大于4000m，故修正系数均为100。</v>
      </c>
    </row>
    <row r="65" spans="1:15" ht="63.75" customHeight="1" x14ac:dyDescent="0.15">
      <c r="A65" s="273"/>
      <c r="B65" s="80" t="s">
        <v>38</v>
      </c>
      <c r="C65" s="224" t="s">
        <v>45</v>
      </c>
      <c r="D65" s="224" t="s">
        <v>45</v>
      </c>
      <c r="E65" s="224" t="s">
        <v>45</v>
      </c>
      <c r="F65" s="224" t="s">
        <v>45</v>
      </c>
      <c r="H65" s="299"/>
      <c r="I65" s="74" t="str">
        <f>区位状况道路状况</f>
        <v>道路状况</v>
      </c>
      <c r="J65" s="72">
        <v>100</v>
      </c>
      <c r="K65" s="72">
        <f>100-IF($C65="好",100,IF($C65="较好",100-$N65,IF($C65="一般",100-2*$N65,IF($C65="较差",100-3*$N65,IF($C65="差",100-4*$N65)))))+IF(D65="好",100,IF(D65="较好",100-$N65,IF(D65="一般",100-2*$N65,IF(D65="较差",100-3*$N65,IF(D65="差",100-4*$N65)))))</f>
        <v>100</v>
      </c>
      <c r="L65" s="72">
        <f>100-IF($C65="好",100,IF($C65="较好",100-$N65,IF($C65="一般",100-2*$N65,IF($C65="较差",100-3*$N65,IF($C65="差",100-4*$N65)))))+IF(E65="好",100,IF(E65="较好",100-$N65,IF(E65="一般",100-2*$N65,IF(E65="较差",100-3*$N65,IF(E65="差",100-4*$N65)))))</f>
        <v>100</v>
      </c>
      <c r="M65" s="72">
        <f>100-IF($C65="好",100,IF($C65="较好",100-$N65,IF($C65="一般",100-2*$N65,IF($C65="较差",100-3*$N65,IF($C65="差",100-4*$N65)))))+IF(F65="好",100,IF(F65="较好",100-$N65,IF(F65="一般",100-2*$N65,IF(F65="较差",100-3*$N65,IF(F65="差",100-4*$N65)))))</f>
        <v>100</v>
      </c>
      <c r="N65" s="76">
        <v>3</v>
      </c>
      <c r="O65" s="145" t="str">
        <f>"将"&amp;B65&amp;"分为好、较好、一般、较差、差五个级别，以估价对象为基准（100），将可比实例与估价对象相比，每上升或下降一个级别，则将指数增加或减少"&amp;N65&amp;IF(AND(C65=D65,D65=E65,E65=F65),",估价对象和可比实例A、B、C相比均为"&amp;C65&amp;"，故修正系数均为100。","。估价对象"&amp;B65&amp;"为"&amp;C65&amp;",可比实例A为"&amp;D65&amp;"、可比实例B为"&amp;E65&amp;"、可比实例C为"&amp;F65&amp;";可比实例A与估价对象相比"&amp;IF(K65-$J65=0,"相似",IF(K65-$J65=$N65,"较好",IF(K65-$J65=2*$N65,"好",IF(K65-$J65&gt;=3*$N65,"更好",IF(K65-$J65=-$N65,"较差",IF(K65-$J65=-2*$N65,"差",IF(K65-$J65&lt;=-3*$N65,"更差")))))))&amp;"、可比实例B与估价对象相比"&amp;IF(L65-$J65=0,"相似",IF(L65-$J65=$N65,"较好",IF(L65-$J65=2*$N65,"好",IF(L65-$J65&gt;=3*$N65,"更好",IF(L65-$J65=-$N65,"较差",IF(L65-$J65=-2*$N65,"差",IF(L65-$J65&lt;=-3*$N65,"更差")))))))&amp;"，可比实例C与估价对象相比"&amp;IF(M65-$J65=0,"相似",IF(M65-$J65=$N65,"较好",IF(M65-$J65=2*$N65,"好",IF(M65-$J65&gt;=3*$N65,"更好",IF(M65-$J65=-$N65,"较差",IF(M65-$J65=-2*$N65,"差",IF(M65-$J65&lt;=-3*$N65,"更差")))))))&amp;",故修正系数为"&amp;K65&amp;"、"&amp;L65&amp;"、"&amp;M65&amp;"。")</f>
        <v>将道路状况分为好、较好、一般、较差、差五个级别，以估价对象为基准（100），将可比实例与估价对象相比，每上升或下降一个级别，则将指数增加或减少3,估价对象和可比实例A、B、C相比均为好，故修正系数均为100。</v>
      </c>
    </row>
    <row r="66" spans="1:15" ht="61.5" customHeight="1" x14ac:dyDescent="0.15">
      <c r="A66" s="273"/>
      <c r="B66" s="80" t="s">
        <v>39</v>
      </c>
      <c r="C66" s="224" t="s">
        <v>194</v>
      </c>
      <c r="D66" s="224" t="s">
        <v>194</v>
      </c>
      <c r="E66" s="224" t="s">
        <v>194</v>
      </c>
      <c r="F66" s="224" t="s">
        <v>194</v>
      </c>
      <c r="H66" s="299"/>
      <c r="I66" s="74" t="str">
        <f t="shared" ref="I66:I72" si="3">B66</f>
        <v>基础设施完备度</v>
      </c>
      <c r="J66" s="72">
        <v>100</v>
      </c>
      <c r="K66" s="72">
        <f t="shared" ref="K66:M67" si="4">100-IF($C66="配套完善",100,IF($C66="配套较完善",100-$N66,IF($C66="配套一般",100-2*$N66,IF($C66="配套较不完善",100-3*$N66,IF($C66="配套不完善",100-4*$N66)))))+IF(D66="配套完善",100,IF(D66="配套较完善",100-$N66,IF(D66="配套一般",100-2*$N66,IF(D66="配套较不完善",100-3*$N66,IF(D66="配套不完善",100-4*$N66)))))</f>
        <v>100</v>
      </c>
      <c r="L66" s="72">
        <f t="shared" si="4"/>
        <v>100</v>
      </c>
      <c r="M66" s="72">
        <f t="shared" si="4"/>
        <v>100</v>
      </c>
      <c r="N66" s="76">
        <v>3</v>
      </c>
      <c r="O66" s="145" t="str">
        <f>"将"&amp;B66&amp;"分为配套完善、配套较完善、配套一般、配套较不完善、配套不完善五个级别，以估价对象为基准（100），将可比实例与估价对象相比，每上升或下降一个级别，则将指数增加或减少"&amp;N66&amp;IF(AND(C66=D66,D66=E66,E66=F66),",估价对象和可比实例A、B、C相比均为"&amp;C66&amp;"，故修正系数均为100。","。估价对象"&amp;B66&amp;"为"&amp;C66&amp;",可比实例A为"&amp;D66&amp;"、可比实例B为"&amp;E66&amp;"、可比实例C为"&amp;F66&amp;";可比实例A与估价对象相比"&amp;IF(K66-$J66=0,"相似",IF(K66-$J66=$N66,"较好",IF(K66-$J66=2*$N66,"好",IF(K66-$J66&gt;=3*$N66,"更好",IF(K66-$J66=-$N66,"较差",IF(K66-$J66=-2*$N66,"差",IF(K66-$J66&lt;=-3*$N66,"更差")))))))&amp;"、可比实例B与估价对象相比"&amp;IF(L66-$J66=0,"相似",IF(L66-$J66=$N66,"较好",IF(L66-$J66=2*$N66,"好",IF(L66-$J66&gt;=3*$N66,"更好",IF(L66-$J66=-$N66,"较差",IF(L66-$J66=-2*$N66,"差",IF(L66-$J66&lt;=-3*$N66,"更差")))))))&amp;"，可比实例C与估价对象相比"&amp;IF(M66-$J66=0,"相似",IF(M66-$J66=$N66,"较好",IF(M66-$J66=2*$N66,"好",IF(M66-$J66&gt;=3*$N66,"更好",IF(M66-$J66=-$N66,"较差",IF(M66-$J66=-2*$N66,"差",IF(M66-$J66&lt;=-3*$N66,"更差")))))))&amp;",故修正系数为"&amp;K66&amp;"、"&amp;L66&amp;"、"&amp;M66&amp;"。")</f>
        <v>将基础设施完备度分为配套完善、配套较完善、配套一般、配套较不完善、配套不完善五个级别，以估价对象为基准（100），将可比实例与估价对象相比，每上升或下降一个级别，则将指数增加或减少3,估价对象和可比实例A、B、C相比均为配套完善，故修正系数均为100。</v>
      </c>
    </row>
    <row r="67" spans="1:15" ht="81" customHeight="1" x14ac:dyDescent="0.15">
      <c r="A67" s="273"/>
      <c r="B67" s="80" t="s">
        <v>41</v>
      </c>
      <c r="C67" s="224" t="s">
        <v>195</v>
      </c>
      <c r="D67" s="224" t="s">
        <v>194</v>
      </c>
      <c r="E67" s="224" t="s">
        <v>194</v>
      </c>
      <c r="F67" s="224" t="s">
        <v>194</v>
      </c>
      <c r="H67" s="299"/>
      <c r="I67" s="74" t="str">
        <f t="shared" si="3"/>
        <v>公共设施完备度</v>
      </c>
      <c r="J67" s="72">
        <v>100</v>
      </c>
      <c r="K67" s="72">
        <f t="shared" si="4"/>
        <v>100</v>
      </c>
      <c r="L67" s="72">
        <f t="shared" si="4"/>
        <v>100</v>
      </c>
      <c r="M67" s="72">
        <f t="shared" si="4"/>
        <v>100</v>
      </c>
      <c r="N67" s="76">
        <v>3</v>
      </c>
      <c r="O67" s="145" t="str">
        <f>"将"&amp;B67&amp;"分为配套完善、配套较完善、配套一般、配套较不完善、配套不完善五个级别，以估价对象为基准（100），将可比实例与估价对象相比，每上升或下降一个级别，则将指数增加或减少"&amp;N67&amp;IF(AND(C67=D67,D67=E67,E67=F67),",估价对象和可比实例A、B、C相比均为"&amp;C67&amp;"，故修正系数均为100。","。估价对象"&amp;B67&amp;"为"&amp;C67&amp;",可比实例A为"&amp;D67&amp;"、可比实例B为"&amp;E67&amp;"、可比实例C为"&amp;F67&amp;";可比实例A与估价对象相比"&amp;IF(K67-$J67=0,"相似",IF(K67-$J67=$N67,"较好",IF(K67-$J67=2*$N67,"好",IF(K67-$J67&gt;=3*$N67,"更好",IF(K67-$J67=-$N67,"较差",IF(K67-$J67=-2*$N67,"差",IF(K67-$J67&lt;=-3*$N67,"更差")))))))&amp;"、可比实例B与估价对象相比"&amp;IF(L67-$J67=0,"相似",IF(L67-$J67=$N67,"较好",IF(L67-$J67=2*$N67,"好",IF(L67-$J67&gt;=3*$N67,"更好",IF(L67-$J67=-$N67,"较差",IF(L67-$J67=-2*$N67,"差",IF(L67-$J67&lt;=-3*$N67,"更差")))))))&amp;"，可比实例C与估价对象相比"&amp;IF(M67-$J67=0,"相似",IF(M67-$J67=$N67,"较好",IF(M67-$J67=2*$N67,"好",IF(M67-$J67&gt;=3*$N67,"更好",IF(M67-$J67=-$N67,"较差",IF(M67-$J67=-2*$N67,"差",IF(M67-$J67&lt;=-3*$N67,"更差")))))))&amp;",故修正系数为"&amp;K67&amp;"、"&amp;L67&amp;"、"&amp;M67&amp;"。")</f>
        <v>将公共设施完备度分为配套完善、配套较完善、配套一般、配套较不完善、配套不完善五个级别，以估价对象为基准（100），将可比实例与估价对象相比，每上升或下降一个级别，则将指数增加或减少3,估价对象和可比实例A、B、C相比均为配套完善，故修正系数均为100。</v>
      </c>
    </row>
    <row r="68" spans="1:15" ht="55.5" customHeight="1" x14ac:dyDescent="0.15">
      <c r="A68" s="273"/>
      <c r="B68" s="80" t="s">
        <v>42</v>
      </c>
      <c r="C68" s="224" t="s">
        <v>45</v>
      </c>
      <c r="D68" s="224" t="s">
        <v>45</v>
      </c>
      <c r="E68" s="224" t="s">
        <v>45</v>
      </c>
      <c r="F68" s="224" t="s">
        <v>45</v>
      </c>
      <c r="H68" s="299"/>
      <c r="I68" s="74" t="str">
        <f t="shared" si="3"/>
        <v>交通状况</v>
      </c>
      <c r="J68" s="72">
        <v>100</v>
      </c>
      <c r="K68" s="72">
        <f>100-IF($C68="好",100,IF($C68="较好",100-$N68,IF($C68="一般",100-2*$N68,IF($C68="较差",100-3*$N68,IF($C68="差",100-4*$N68)))))+IF(D68="好",100,IF(D68="较好",100-$N68,IF(D68="一般",100-2*$N68,IF(D68="较差",100-3*$N68,IF(D68="差",100-4*$N68)))))</f>
        <v>100</v>
      </c>
      <c r="L68" s="72">
        <f>100-IF($C68="好",100,IF($C68="较好",100-$N68,IF($C68="一般",100-2*$N68,IF($C68="较差",100-3*$N68,IF($C68="差",100-4*$N68)))))+IF(E68="好",100,IF(E68="较好",100-$N68,IF(E68="一般",100-2*$N68,IF(E68="较差",100-3*$N68,IF(E68="差",100-4*$N68)))))</f>
        <v>100</v>
      </c>
      <c r="M68" s="72">
        <f>100-IF($C68="好",100,IF($C68="较好",100-$N68,IF($C68="一般",100-2*$N68,IF($C68="较差",100-3*$N68,IF($C68="差",100-4*$N68)))))+IF(F68="好",100,IF(F68="较好",100-$N68,IF(F68="一般",100-2*$N68,IF(F68="较差",100-3*$N68,IF(F68="差",100-4*$N68)))))</f>
        <v>100</v>
      </c>
      <c r="N68" s="76">
        <v>3</v>
      </c>
      <c r="O68" s="145" t="str">
        <f>"将"&amp;B68&amp;"分为好、较好、一般、较差、差五个级别，以估价对象为基准（100），将可比实例与估价对象相比，每上升或下降一个级别，则将指数增加或减少"&amp;N68&amp;IF(AND(C68=D68,D68=E68,E68=F68),",估价对象和可比实例A、B、C相比均为"&amp;C68&amp;"，故修正系数均为100。","。估价对象"&amp;B68&amp;"为"&amp;C68&amp;",可比实例A为"&amp;D68&amp;"、可比实例B为"&amp;E68&amp;"、可比实例C为"&amp;F68&amp;";可比实例A与估价对象相比"&amp;IF(K68-$J68=0,"相似",IF(K68-$J68=$N68,"较好",IF(K68-$J68=2*$N68,"好",IF(K68-$J68&gt;=3*$N68,"更好",IF(K68-$J68=-$N68,"较差",IF(K68-$J68=-2*$N68,"差",IF(K68-$J68&lt;=-3*$N68,"更差")))))))&amp;"、可比实例B与估价对象相比"&amp;IF(L68-$J68=0,"相似",IF(L68-$J68=$N68,"较好",IF(L68-$J68=2*$N68,"好",IF(L68-$J68&gt;=3*$N68,"更好",IF(L68-$J68=-$N68,"较差",IF(L68-$J68=-2*$N68,"差",IF(L68-$J68&lt;=-3*$N68,"更差")))))))&amp;"，可比实例C与估价对象相比"&amp;IF(M68-$J68=0,"相似",IF(M68-$J68=$N68,"较好",IF(M68-$J68=2*$N68,"好",IF(M68-$J68&gt;=3*$N68,"更好",IF(M68-$J68=-$N68,"较差",IF(M68-$J68=-2*$N68,"差",IF(M68-$J68&lt;=-3*$N68,"更差")))))))&amp;",故修正系数为"&amp;K68&amp;"、"&amp;L68&amp;"、"&amp;M68&amp;"。")</f>
        <v>将交通状况分为好、较好、一般、较差、差五个级别，以估价对象为基准（100），将可比实例与估价对象相比，每上升或下降一个级别，则将指数增加或减少3,估价对象和可比实例A、B、C相比均为好，故修正系数均为100。</v>
      </c>
    </row>
    <row r="69" spans="1:15" ht="38.25" customHeight="1" x14ac:dyDescent="0.15">
      <c r="A69" s="273"/>
      <c r="B69" s="80" t="s">
        <v>43</v>
      </c>
      <c r="C69" s="224" t="str">
        <f>房屋用途</f>
        <v>成套住宅</v>
      </c>
      <c r="D69" s="224" t="str">
        <f>C69</f>
        <v>成套住宅</v>
      </c>
      <c r="E69" s="224" t="str">
        <f>C69</f>
        <v>成套住宅</v>
      </c>
      <c r="F69" s="224" t="str">
        <f>C69</f>
        <v>成套住宅</v>
      </c>
      <c r="H69" s="299"/>
      <c r="I69" s="74" t="str">
        <f t="shared" si="3"/>
        <v>规划上限制</v>
      </c>
      <c r="J69" s="72">
        <v>100</v>
      </c>
      <c r="K69" s="72">
        <v>100</v>
      </c>
      <c r="L69" s="72">
        <v>100</v>
      </c>
      <c r="M69" s="72">
        <v>100</v>
      </c>
      <c r="N69" s="76">
        <v>3</v>
      </c>
      <c r="O69" s="145" t="s">
        <v>203</v>
      </c>
    </row>
    <row r="70" spans="1:15" ht="65.25" customHeight="1" x14ac:dyDescent="0.15">
      <c r="A70" s="273"/>
      <c r="B70" s="80" t="s">
        <v>13</v>
      </c>
      <c r="C70" s="224">
        <f>所在楼层</f>
        <v>11</v>
      </c>
      <c r="D70" s="110">
        <v>8</v>
      </c>
      <c r="E70" s="113">
        <v>7</v>
      </c>
      <c r="F70" s="110">
        <v>9</v>
      </c>
      <c r="H70" s="299"/>
      <c r="I70" s="74" t="str">
        <f t="shared" si="3"/>
        <v>楼层</v>
      </c>
      <c r="J70" s="72">
        <v>100</v>
      </c>
      <c r="K70" s="72">
        <f>100-IF(AND($C70&gt;$C56*2/5,$C70&lt;=$C56*3/5),100,IF(OR(AND($C70&gt;$C56*3/5,$C70&lt;=C56*4/5),AND($C70&gt;$C56*1/5,$C70&lt;=$C56*2/5)),100-$N70,IF(OR(AND($C70&gt;0,$C70&lt;=$C56*1/5),AND($C70&gt;$C56*4/5)),100-$N70*2)))+IF(AND(D70&gt;D56*2/5,D70&lt;=D56*3/5),100,IF(OR(AND(D70&gt;D56*3/5,D70&lt;=D56*4/5),AND(D70&gt;D56*1/5,D70&lt;=D56*2/5)),100-$N70,IF(OR(AND(D70&gt;0,D70&lt;=D56*1/5),AND(D70&gt;D56*4/5)),100-$N70*2)))</f>
        <v>103</v>
      </c>
      <c r="L70" s="72">
        <f>100-IF(AND($C70&gt;$C56*2/5,$C70&lt;=$C56*3/5),100,IF(OR(AND($C70&gt;$C56*3/5,$C70&lt;=D56*4/5),AND($C70&gt;$C56*1/5,$C70&lt;=$C56*2/5)),100-$N70,IF(OR(AND($C70&gt;0,$C70&lt;=$C56*1/5),AND($C70&gt;$C56*4/5)),100-$N70*2)))+IF(AND(E70&gt;E56*2/5,E70&lt;=E56*3/5),100,IF(OR(AND(E70&gt;E56*3/5,E70&lt;=E56*4/5),AND(E70&gt;E56*1/5,E70&lt;=E56*2/5)),100-$N70,IF(OR(AND(E70&gt;0,E70&lt;=E56*1/5),AND(E70&gt;E56*4/5)),100-$N70*2)))</f>
        <v>103</v>
      </c>
      <c r="M70" s="72">
        <f>100-IF(AND($C70&gt;$C56*2/5,$C70&lt;=$C56*3/5),100,IF(OR(AND($C70&gt;$C56*3/5,$C70&lt;=E56*4/5),AND($C70&gt;$C56*1/5,$C70&lt;=$C56*2/5)),100-$N70,IF(OR(AND($C70&gt;0,$C70&lt;=$C56*1/5),AND($C70&gt;$C56*4/5)),100-$N70*2)))+IF(AND(F70&gt;F56*2/5,F70&lt;=F56*3/5),100,IF(OR(AND(F70&gt;F56*3/5,F70&lt;=F56*4/5),AND(F70&gt;F56*1/5,F70&lt;=F56*2/5)),100-$N70,IF(OR(AND(F70&gt;0,F70&lt;=F56*1/5),AND(F70&gt;F56*4/5)),100-$N70*2)))</f>
        <v>103</v>
      </c>
      <c r="N70" s="76">
        <v>3</v>
      </c>
      <c r="O70" s="145" t="str">
        <f>"将楼层分为中间楼层（黄金楼层）、较高层和较低层、高层和底层三个级别，以估价对象楼层指数为100，将可比实例与估价对象相比进行百分比调整，结合本区域楼层差价适当调整。"&amp;IF(AND(K70=L70,L70=M70,K70=M70),"故修正系数均为100。","修正系数为"&amp;K70&amp;"、"&amp;L70&amp;"、"&amp;M70&amp;"。")</f>
        <v>将楼层分为中间楼层（黄金楼层）、较高层和较低层、高层和底层三个级别，以估价对象楼层指数为100，将可比实例与估价对象相比进行百分比调整，结合本区域楼层差价适当调整。故修正系数均为100。</v>
      </c>
    </row>
    <row r="71" spans="1:15" ht="66" customHeight="1" x14ac:dyDescent="0.15">
      <c r="A71" s="273"/>
      <c r="B71" s="114" t="s">
        <v>305</v>
      </c>
      <c r="C71" s="110" t="s">
        <v>45</v>
      </c>
      <c r="D71" s="110" t="s">
        <v>45</v>
      </c>
      <c r="E71" s="110" t="s">
        <v>45</v>
      </c>
      <c r="F71" s="110" t="s">
        <v>45</v>
      </c>
      <c r="H71" s="299"/>
      <c r="I71" s="74" t="str">
        <f t="shared" si="3"/>
        <v>居住适宜度</v>
      </c>
      <c r="J71" s="72">
        <v>100</v>
      </c>
      <c r="K71" s="72">
        <f>100-IF($C71="好",100,IF($C71="较好",100-$N71,IF($C71="一般",100-2*$N71,IF($C71="较差",100-3*$N71,IF($C71="差",100-4*$N71)))))+IF(D71="好",100,IF(D71="较好",100-$N71,IF(D71="一般",100-2*$N71,IF(D71="较差",100-3*$N71,IF(D71="差",100-4*$N71)))))</f>
        <v>100</v>
      </c>
      <c r="L71" s="72">
        <f>100-IF($C71="好",100,IF($C71="较好",100-$N71,IF($C71="一般",100-2*$N71,IF($C71="较差",100-3*$N71,IF($C71="差",100-4*$N71)))))+IF(E71="好",100,IF(E71="较好",100-$N71,IF(E71="一般",100-2*$N71,IF(E71="较差",100-3*$N71,IF(E71="差",100-4*$N71)))))</f>
        <v>100</v>
      </c>
      <c r="M71" s="72">
        <f>100-IF($C71="好",100,IF($C71="较好",100-$N71,IF($C71="一般",100-2*$N71,IF($C71="较差",100-3*$N71,IF($C71="差",100-4*$N71)))))+IF(F71="好",100,IF(F71="较好",100-$N71,IF(F71="一般",100-2*$N71,IF(F71="较差",100-3*$N71,IF(F71="差",100-4*$N71)))))</f>
        <v>100</v>
      </c>
      <c r="N71" s="76">
        <v>3</v>
      </c>
      <c r="O71" s="145" t="str">
        <f>"将"&amp;B71&amp;"分为好、较好、一般、较差、差五个级别，以估价对象为基准（100），将可比实例与估价对象相比，每上升或下降一个级别，则将指数增加或减少"&amp;N71&amp;IF(AND(C71=D71,D71=E71,E71=F71),",估价对象和可比实例A、B、C相比均为"&amp;C71&amp;"，故修正系数均为100。","。估价对象"&amp;B71&amp;"为"&amp;C71&amp;",可比实例A为"&amp;D71&amp;"、可比实例B为"&amp;E71&amp;"、可比实例C为"&amp;F71&amp;";可比实例A与估价对象相比"&amp;IF(K71-$J71=0,"相似",IF(K71-$J71=$N71,"较好",IF(K71-$J71=2*$N71,"好",IF(K71-$J71&gt;=3*$N71,"更好",IF(K71-$J71=-$N71,"较差",IF(K71-$J71=-2*$N71,"差",IF(K71-$J71&lt;=-3*$N71,"更差")))))))&amp;"、可比实例B与估价对象相比"&amp;IF(L71-$J71=0,"相似",IF(L71-$J71=$N71,"较好",IF(L71-$J71=2*$N71,"好",IF(L71-$J71&gt;=3*$N71,"更好",IF(L71-$J71=-$N71,"较差",IF(L71-$J71=-2*$N71,"差",IF(L71-$J71&lt;=-3*$N71,"更差")))))))&amp;"，可比实例C与估价对象相比"&amp;IF(M71-$J71=0,"相似",IF(M71-$J71=$N71,"较好",IF(M71-$J71=2*$N71,"好",IF(M71-$J71&gt;=3*$N71,"更好",IF(M71-$J71=-$N71,"较差",IF(M71-$J71=-2*$N71,"差",IF(M71-$J71&lt;=-3*$N71,"更差")))))))&amp;",故修正系数为"&amp;K71&amp;"、"&amp;L71&amp;"、"&amp;M71&amp;"。")</f>
        <v>将居住适宜度分为好、较好、一般、较差、差五个级别，以估价对象为基准（100），将可比实例与估价对象相比，每上升或下降一个级别，则将指数增加或减少3,估价对象和可比实例A、B、C相比均为好，故修正系数均为100。</v>
      </c>
    </row>
    <row r="72" spans="1:15" ht="39" customHeight="1" x14ac:dyDescent="0.15">
      <c r="A72" s="273"/>
      <c r="B72" s="301" t="s">
        <v>219</v>
      </c>
      <c r="C72" s="225" t="s">
        <v>469</v>
      </c>
      <c r="D72" s="110" t="s">
        <v>537</v>
      </c>
      <c r="E72" s="110" t="s">
        <v>196</v>
      </c>
      <c r="F72" s="110" t="s">
        <v>197</v>
      </c>
      <c r="H72" s="299"/>
      <c r="I72" s="74" t="str">
        <f t="shared" si="3"/>
        <v>朝向</v>
      </c>
      <c r="J72" s="72">
        <v>100</v>
      </c>
      <c r="K72" s="72">
        <f>100-IF($C72="南",100,IF(OR($C72="东南",$C72="西南"),100-$N72,IF(OR($C72="东",$C72="西"),100-2*$N72,IF(OR($C72="东北",$C72="西北"),100-3*$N72,IF($C72="北",100-4*$N72)))))+IF(D72="南",100,IF(OR(D72="东南",D72="西南"),100-$N72,IF(OR(D72="东",D72="西"),100-2*$N72,IF(OR(D72="东北",D72="西北"),100-3*$N72,IF(D72="北",100-4*$N72)))))</f>
        <v>106</v>
      </c>
      <c r="L72" s="72">
        <f>100-IF($C72="南",100,IF(OR($C72="东南",$C72="西南"),100-$N72,IF(OR($C72="东",$C72="西"),100-2*$N72,IF(OR($C72="东北",$C72="西北"),100-3*$N72,IF($C72="北",100-4*$N72)))))+IF(E72="南",100,IF(OR(E72="东南",E72="西南"),100-$N72,IF(OR(E72="东",E72="西"),100-2*$N72,IF(OR(E72="东北",E72="西北"),100-3*$N72,IF(E72="北",100-4*$N72)))))</f>
        <v>106</v>
      </c>
      <c r="M72" s="72">
        <f>100-IF($C72="南",100,IF(OR($C72="东南",$C72="西南"),100-$N72,IF(OR($C72="东",$C72="西"),100-2*$N72,IF(OR($C72="东北",$C72="西北"),100-3*$N72,IF($C72="北",100-4*$N72)))))+IF(F72="南",100,IF(OR(F72="东南",F72="西南"),100-$N72,IF(OR(F72="东",F72="西"),100-2*$N72,IF(OR(F72="东北",F72="西北"),100-3*$N72,IF(F72="北",100-4*$N72)))))</f>
        <v>103</v>
      </c>
      <c r="N72" s="76">
        <v>3</v>
      </c>
      <c r="O72" s="145" t="str">
        <f>"将"&amp;B72&amp;"分为南、东南和西南、东和西、东北和西北、北五个级别，以估价对象为基准（100），将可比实例与估价对象相比，每上升或下降一个级别，则将指数增加或减少"&amp;N72&amp;IF(AND(C72=D72,D72=E72,E72=F72),",估价对象和可比实例A、B、C相比均为"&amp;C72&amp;"，故修正系数均为100。","。估价对象"&amp;B72&amp;"为"&amp;C72&amp;",可比实例A为"&amp;D72&amp;"、可比实例B为"&amp;E72&amp;"、可比实例C为"&amp;F72&amp;";可比实例A与估价对象相比"&amp;IF(K72-$J72=0,"相似",IF(K72-$J72=$N72,"较好",IF(K72-$J72=2*$N72,"好",IF(K72-$J72&gt;=3*$N72,"更好",IF(K72-$J72=-$N72,"较差",IF(K72-$J72=-2*$N72,"差",IF(K72-$J72&lt;=-3*$N72,"更差")))))))&amp;"、可比实例B与估价对象相比"&amp;IF(L72-$J72=0,"相似",IF(L72-$J72=$N72,"较好",IF(L72-$J72=2*$N72,"好",IF(L72-$J72&gt;=3*$N72,"更好",IF(L72-$J72=-$N72,"较差",IF(L72-$J72=-2*$N72,"差",IF(L72-$J72&lt;=-3*$N72,"更差")))))))&amp;"，可比实例C与估价对象相比"&amp;IF(M72-$J72=0,"相似",IF(M72-$J72=$N72,"较好",IF(M72-$J72=2*$N72,"好",IF(M72-$J72&gt;=3*$N72,"更好",IF(M72-$J72=-$N72,"较差",IF(M72-$J72=-2*$N72,"差",IF(M72-$J72&lt;=-3*$N72,"更差")))))))&amp;",故修正系数为"&amp;K72&amp;"、"&amp;L72&amp;"、"&amp;M72&amp;"。")</f>
        <v>将朝向分为南、东南和西南、东和西、东北和西北、北五个级别，以估价对象为基准（100），将可比实例与估价对象相比，每上升或下降一个级别，则将指数增加或减少3。估价对象朝向为西,可比实例A为南、可比实例B为南、可比实例C为西南;可比实例A与估价对象相比好、可比实例B与估价对象相比好，可比实例C与估价对象相比较好,故修正系数为106、106、103。</v>
      </c>
    </row>
    <row r="73" spans="1:15" ht="61.5" customHeight="1" x14ac:dyDescent="0.15">
      <c r="A73" s="273"/>
      <c r="B73" s="301"/>
      <c r="C73" s="221"/>
      <c r="D73" s="143"/>
      <c r="E73" s="143"/>
      <c r="F73" s="143"/>
      <c r="H73" s="300"/>
      <c r="I73" s="74" t="s">
        <v>220</v>
      </c>
      <c r="J73" s="72">
        <v>100</v>
      </c>
      <c r="K73" s="77">
        <f>100-SUM(J61:J72)+SUM(K61:K72)</f>
        <v>109</v>
      </c>
      <c r="L73" s="77">
        <f>100-SUM(J61:J72)+SUM(L61:L72)</f>
        <v>109</v>
      </c>
      <c r="M73" s="77">
        <f>100-SUM(J61:J72)+SUM(M61:M72)</f>
        <v>106</v>
      </c>
      <c r="N73" s="76" t="s">
        <v>212</v>
      </c>
      <c r="O73" s="145"/>
    </row>
    <row r="74" spans="1:15" ht="51" customHeight="1" x14ac:dyDescent="0.15">
      <c r="A74" s="273" t="s">
        <v>309</v>
      </c>
      <c r="B74" s="80" t="s">
        <v>221</v>
      </c>
      <c r="C74" s="224" t="str">
        <f>建筑结构</f>
        <v>钢筋混凝土结构</v>
      </c>
      <c r="D74" s="224" t="str">
        <f>C74</f>
        <v>钢筋混凝土结构</v>
      </c>
      <c r="E74" s="224" t="str">
        <f>C74</f>
        <v>钢筋混凝土结构</v>
      </c>
      <c r="F74" s="224" t="str">
        <f>C74</f>
        <v>钢筋混凝土结构</v>
      </c>
      <c r="H74" s="298" t="str">
        <f>A74</f>
        <v>实物状况</v>
      </c>
      <c r="I74" s="74" t="str">
        <f>B74</f>
        <v>结构</v>
      </c>
      <c r="J74" s="72">
        <v>100</v>
      </c>
      <c r="K74" s="72">
        <f>100-IF($C74="钢混结构",100,IF($C74="框架结构",100-$N74,IF($C74="砖混结构",100-2*$N74,IF($C74="砖木结构",100-3*$N74,IF($C74="简易结构",100-4*$N74)))))+IF(D74="钢混结构",100,IF(D74="框架结构",100-$N74,IF(D74="砖混结构",100-2*$N74,IF(D74="砖木结构",100-3*$N74,IF(D74="简易结构",100-4*$N74)))))</f>
        <v>100</v>
      </c>
      <c r="L74" s="72">
        <f>100-IF($C74="钢混结构",100,IF($C74="框架结构",100-$N74,IF($C74="砖混结构",100-2*$N74,IF($C74="砖木结构",100-3*$N74,IF($C74="简易结构",100-4*$N74)))))+IF(E74="钢混结构",100,IF(E74="框架结构",100-$N74,IF(E74="砖混结构",100-2*$N74,IF(E74="砖木结构",100-3*$N74,IF(E74="简易结构",100-4*$N74)))))</f>
        <v>100</v>
      </c>
      <c r="M74" s="72">
        <f>100-IF($C74="钢混结构",100,IF($C74="框架结构",100-$N74,IF($C74="砖混结构",100-2*$N74,IF($C74="砖木结构",100-3*$N74,IF($C74="简易结构",100-4*$N74)))))+IF(F74="钢混结构",100,IF(F74="框架结构",100-$N74,IF(F74="砖混结构",100-2*$N74,IF(F74="砖木结构",100-3*$N74,IF(F74="简易结构",100-4*$N74)))))</f>
        <v>100</v>
      </c>
      <c r="N74" s="76">
        <v>3</v>
      </c>
      <c r="O74" s="145" t="str">
        <f>"将"&amp;B74&amp;"分为钢混结构、框架结构、砖混结构、砖木结构、简易结构五个级别，以估价对象为基准（100），将可比实例与估价对象相比，每上升或下降一个级别，则将指数增加或减少"&amp;N74&amp;IF(AND(C74=D74,D74=E74,E74=F74),",估价对象和可比实例A、B、C相比均为"&amp;C74&amp;"，故修正系数均为100。","。估价对象"&amp;B74&amp;"为"&amp;C74&amp;",可比实例A为"&amp;D74&amp;"、可比实例B为"&amp;E74&amp;"、可比实例C为"&amp;F74&amp;";可比实例A与估价对象相比"&amp;IF(K74-$J74=0,"相似",IF(K74-$J74=$N74,"较好",IF(K74-$J74=2*$N74,"好",IF(K74-$J74&gt;=3*$N74,"更好",IF(K74-$J74=-$N74,"较差",IF(K74-$J74=-2*$N74,"差",IF(K74-$J74&lt;=-3*$N74,"更差")))))))&amp;"、可比实例B与估价对象相比"&amp;IF(L74-$J74=0,"相似",IF(L74-$J74=$N74,"较好",IF(L74-$J74=2*$N74,"好",IF(L74-$J74&gt;=3*$N74,"更好",IF(L74-$J74=-$N74,"较差",IF(L74-$J74=-2*$N74,"差",IF(L74-$J74&lt;=-3*$N74,"更差")))))))&amp;"，可比实例C与估价对象相比"&amp;IF(M74-$J74=0,"相似",IF(M74-$J74=$N74,"较好",IF(M74-$J74=2*$N74,"好",IF(M74-$J74&gt;=3*$N74,"更好",IF(M74-$J74=-$N74,"较差",IF(M74-$J74=-2*$N74,"差",IF(M74-$J74&lt;=-3*$N74,"更差")))))))&amp;",故修正系数为"&amp;K74&amp;"、"&amp;L74&amp;"、"&amp;M74&amp;"。")</f>
        <v>将结构分为钢混结构、框架结构、砖混结构、砖木结构、简易结构五个级别，以估价对象为基准（100），将可比实例与估价对象相比，每上升或下降一个级别，则将指数增加或减少3,估价对象和可比实例A、B、C相比均为钢筋混凝土结构，故修正系数均为100。</v>
      </c>
    </row>
    <row r="75" spans="1:15" ht="80.25" customHeight="1" x14ac:dyDescent="0.15">
      <c r="A75" s="273"/>
      <c r="B75" s="80" t="s">
        <v>222</v>
      </c>
      <c r="C75" s="110" t="s">
        <v>198</v>
      </c>
      <c r="D75" s="110" t="s">
        <v>199</v>
      </c>
      <c r="E75" s="110" t="s">
        <v>198</v>
      </c>
      <c r="F75" s="110" t="s">
        <v>198</v>
      </c>
      <c r="H75" s="299"/>
      <c r="I75" s="74" t="str">
        <f t="shared" ref="I75:I82" si="5">B75</f>
        <v>层高</v>
      </c>
      <c r="J75" s="72">
        <v>100</v>
      </c>
      <c r="K75" s="72">
        <f>100-IF($C75="约6米",100,IF($C75="约5.6米",100-$N75,IF($C75="约3.6米",100-2*$N75,IF($C75="约3米",100-3*$N75,IF($C75="约2.8米",100-4*$N75)))))+IF(D75="约6米",100,IF(D75="约5.6米",100-$N75,IF(D75="约3.6米",100-2*$N75,IF(D75="约3米",100-3*$N75,IF(D75="约2.8米",100-4*$N75)))))</f>
        <v>100</v>
      </c>
      <c r="L75" s="72">
        <f>100-IF($C75="约6米",100,IF($C75="约5.6米",100-$N75,IF($C75="约3.6米",100-2*$N75,IF($C75="约3米",100-3*$N75,IF($C75="约2.8米",100-4*$N75)))))+IF(E75="约6米",100,IF(E75="约5.6米",100-$N75,IF(E75="约3.6米",100-2*$N75,IF(E75="约3米",100-3*$N75,IF(E75="约2.8米",100-4*$N75)))))</f>
        <v>100</v>
      </c>
      <c r="M75" s="72">
        <f>100-IF($C75="约6米",100,IF($C75="约5.6米",100-$N75,IF($C75="约3.6米",100-2*$N75,IF($C75="约3米",100-3*$N75,IF($C75="约2.8米",100-4*$N75)))))+IF(F75="约6米",100,IF(F75="约5.6米",100-$N75,IF(F75="约3.6米",100-2*$N75,IF(F75="约3米",100-3*$N75,IF(F75="约2.8米",100-4*$N75)))))</f>
        <v>100</v>
      </c>
      <c r="N75" s="76">
        <v>2</v>
      </c>
      <c r="O75" s="147" t="str">
        <f>"将"&amp;B75&amp;"分为约6米（跃层）、约5.6米（跃层）、约3.6米（错层）、约3米（平层）、约2.8米（平层）五个级别，以估价对象为基准（100），将可比实例与估价对象相比，每上升或下降一个级别，则将指数增加或减少"&amp;N75&amp;IF(AND(C75=D75,D75=E75,E75=F75),",估价对象和可比实例A、B、C相比均为"&amp;C75&amp;"，故修正系数均为100。","。估价对象"&amp;B75&amp;"为"&amp;C75&amp;",可比实例A为"&amp;D75&amp;"、可比实例B为"&amp;E75&amp;"、可比实例C为"&amp;F75&amp;";可比实例A与估价对象相比"&amp;IF(K75-$J75=0,"相似",IF(K75-$J75=$N75,"较好",IF(K75-$J75=2*$N75,"好",IF(K75-$J75&gt;=3*$N75,"更好",IF(K75-$J75=-$N75,"较差",IF(K75-$J75=-2*$N75,"差",IF(K75-$J75&lt;=-3*$N75,"更差")))))))&amp;"、可比实例B与估价对象相比"&amp;IF(L75-$J75=0,"相似",IF(L75-$J75=$N75,"较好",IF(L75-$J75=2*$N75,"好",IF(L75-$J75&gt;=3*$N75,"更好",IF(L75-$J75=-$N75,"较差",IF(L75-$J75=-2*$N75,"差",IF(L75-$J75&lt;=-3*$N75,"更差")))))))&amp;"，可比实例C与估价对象相比"&amp;IF(M75-$J75=0,"相似",IF(M75-$J75=$N75,"较好",IF(M75-$J75=2*$N75,"好",IF(M75-$J75&gt;=3*$N75,"更好",IF(M75-$J75=-$N75,"较差",IF(M75-$J75=-2*$N75,"差",IF(M75-$J75&lt;=-3*$N75,"更差")))))))&amp;",故修正系数为"&amp;K75&amp;"、"&amp;L75&amp;"、"&amp;M75&amp;"。")</f>
        <v>将层高分为约6米（跃层）、约5.6米（跃层）、约3.6米（错层）、约3米（平层）、约2.8米（平层）五个级别，以估价对象为基准（100），将可比实例与估价对象相比，每上升或下降一个级别，则将指数增加或减少2,估价对象和可比实例A、B、C相比均为约3米，故修正系数均为100。</v>
      </c>
    </row>
    <row r="76" spans="1:15" ht="51" customHeight="1" x14ac:dyDescent="0.15">
      <c r="A76" s="273"/>
      <c r="B76" s="80" t="s">
        <v>223</v>
      </c>
      <c r="C76" s="110" t="str">
        <f>外墙</f>
        <v>外墙漆</v>
      </c>
      <c r="D76" s="110" t="s">
        <v>429</v>
      </c>
      <c r="E76" s="110" t="s">
        <v>429</v>
      </c>
      <c r="F76" s="110" t="s">
        <v>429</v>
      </c>
      <c r="H76" s="299"/>
      <c r="I76" s="74" t="str">
        <f t="shared" si="5"/>
        <v>外观</v>
      </c>
      <c r="J76" s="72">
        <v>100</v>
      </c>
      <c r="K76" s="72">
        <f>100-IF($C76="幕墙",100,IF($C76="石材",100-$N76,IF(OR($C76="墙砖",$C76="外墙漆"),100-2*$N76,IF($C76="抹灰",100-3*$N76,IF($C76="清水",100-4*$N76)))))+IF(D76="幕墙",100,IF(D76="石材",100-$N76,IF(OR(D76="墙砖",D76="外墙漆"),100-2*$N76,IF(D76="抹灰",100-3*$N76,IF(D76="清水",100-4*$N76)))))</f>
        <v>100</v>
      </c>
      <c r="L76" s="72">
        <f>100-IF($C76="幕墙",100,IF($C76="石材",100-$N76,IF(OR($C76="墙砖",$C76="外墙漆"),100-2*$N76,IF($C76="抹灰",100-3*$N76,IF($C76="清水",100-4*$N76)))))+IF(E76="幕墙",100,IF(E76="石材",100-$N76,IF(OR(E76="墙砖",E76="外墙漆"),100-2*$N76,IF(E76="抹灰",100-3*$N76,IF(E76="清水",100-4*$N76)))))</f>
        <v>100</v>
      </c>
      <c r="M76" s="72">
        <f>100-IF($C76="幕墙",100,IF($C76="石材",100-$N76,IF(OR($C76="墙砖",$C76="外墙漆"),100-2*$N76,IF($C76="抹灰",100-3*$N76,IF($C76="清水",100-4*$N76)))))+IF(F76="幕墙",100,IF(F76="石材",100-$N76,IF(OR(F76="墙砖",F76="外墙漆"),100-2*$N76,IF(F76="抹灰",100-3*$N76,IF(F76="清水",100-4*$N76)))))</f>
        <v>100</v>
      </c>
      <c r="N76" s="76">
        <v>3</v>
      </c>
      <c r="O76" s="145" t="str">
        <f>"将"&amp;B76&amp;"分为幕墙、石材、墙砖或外墙漆、抹灰、清水五个级别，以估价对象为基准（100），将可比实例与估价对象相比，每上升或下降一个级别，则将指数增加或减少"&amp;N76&amp;IF(AND(C76=D76,D76=E76,E76=F76),",估价对象和可比实例A、B、C相比均为"&amp;C76&amp;"，故修正系数均为100。","。估价对象"&amp;B76&amp;"为"&amp;C76&amp;",可比实例A为"&amp;D76&amp;"、可比实例B为"&amp;E76&amp;"、可比实例C为"&amp;F76&amp;";可比实例A与估价对象相比"&amp;IF(K76-$J76=0,"相似",IF(K76-$J76=$N76,"较好",IF(K76-$J76=2*$N76,"好",IF(K76-$J76&gt;=3*$N76,"更好",IF(K76-$J76=-$N76,"较差",IF(K76-$J76=-2*$N76,"差",IF(K76-$J76&lt;=-3*$N76,"更差")))))))&amp;"、可比实例B与估价对象相比"&amp;IF(L76-$J76=0,"相似",IF(L76-$J76=$N76,"较好",IF(L76-$J76=2*$N76,"好",IF(L76-$J76&gt;=3*$N76,"更好",IF(L76-$J76=-$N76,"较差",IF(L76-$J76=-2*$N76,"差",IF(L76-$J76&lt;=-3*$N76,"更差")))))))&amp;"，可比实例C与估价对象相比"&amp;IF(M76-$J76=0,"相似",IF(M76-$J76=$N76,"较好",IF(M76-$J76=2*$N76,"好",IF(M76-$J76&gt;=3*$N76,"更好",IF(M76-$J76=-$N76,"较差",IF(M76-$J76=-2*$N76,"差",IF(M76-$J76&lt;=-3*$N76,"更差")))))))&amp;",故修正系数为"&amp;K76&amp;"、"&amp;L76&amp;"、"&amp;M76&amp;"。")</f>
        <v>将外观分为幕墙、石材、墙砖或外墙漆、抹灰、清水五个级别，以估价对象为基准（100），将可比实例与估价对象相比，每上升或下降一个级别，则将指数增加或减少3,估价对象和可比实例A、B、C相比均为外墙漆，故修正系数均为100。</v>
      </c>
    </row>
    <row r="77" spans="1:15" ht="51" customHeight="1" x14ac:dyDescent="0.15">
      <c r="A77" s="273"/>
      <c r="B77" s="80" t="s">
        <v>10</v>
      </c>
      <c r="C77" s="110" t="s">
        <v>200</v>
      </c>
      <c r="D77" s="110" t="s">
        <v>200</v>
      </c>
      <c r="E77" s="110" t="s">
        <v>532</v>
      </c>
      <c r="F77" s="110" t="s">
        <v>200</v>
      </c>
      <c r="H77" s="299"/>
      <c r="I77" s="74" t="str">
        <f t="shared" si="5"/>
        <v>装饰装修</v>
      </c>
      <c r="J77" s="72">
        <v>100</v>
      </c>
      <c r="K77" s="72">
        <f>100-IF($C77="豪华装修",100,IF($C77="精装修",100-$N77,IF($C77="中档装修",100-2*$N77,IF($C77="普通装修",100-3*$N77,IF($C77="毛坯房",100-4*$N77)))))+IF(D77="豪华装修",100,IF(D77="精装修",100-$N77,IF(D77="中档装修",100-2*$N77,IF(D77="普通装修",100-3*$N77,IF(D77="毛坯房",100-4*$N77)))))</f>
        <v>100</v>
      </c>
      <c r="L77" s="72">
        <f>100-IF($C77="豪华装修",100,IF($C77="精装修",100-$N77,IF($C77="中档装修",100-2*$N77,IF($C77="普通装修",100-3*$N77,IF($C77="毛坯房",100-4*$N77)))))+IF(E77="豪华装修",100,IF(E77="精装修",100-$N77,IF(E77="中档装修",100-2*$N77,IF(E77="普通装修",100-3*$N77,IF(E77="毛坯房",100-4*$N77)))))</f>
        <v>105</v>
      </c>
      <c r="M77" s="72">
        <f>100-IF($C77="豪华装修",100,IF($C77="精装修",100-$N77,IF($C77="中档装修",100-2*$N77,IF($C77="普通装修",100-3*$N77,IF($C77="毛坯房",100-4*$N77)))))+IF(F77="豪华装修",100,IF(F77="精装修",100-$N77,IF(F77="中档装修",100-2*$N77,IF(F77="普通装修",100-3*$N77,IF(F77="毛坯房",100-4*$N77)))))</f>
        <v>100</v>
      </c>
      <c r="N77" s="76">
        <v>5</v>
      </c>
      <c r="O77" s="145" t="str">
        <f>"将"&amp;B77&amp;"分为豪华装修、精装修、中档装修、普通装修和毛坯房五个级别，以估价对象为基准（100），将可比实例与估价对象相比，每上升或下降一个级别，则将指数增加或减少"&amp;N77&amp;IF(AND(C77=D77,D77=E77,E77=F77),",估价对象和可比实例A、B、C相比均为"&amp;C77&amp;"，故修正系数均为100。","。估价对象"&amp;B77&amp;"为"&amp;C77&amp;",可比实例A为"&amp;D77&amp;"、可比实例B为"&amp;E77&amp;"、可比实例C为"&amp;F77&amp;";可比实例A与估价对象相比"&amp;IF(K77-$J77=0,"相似",IF(K77-$J77=$N77,"较好",IF(K77-$J77=2*$N77,"好",IF(K77-$J77&gt;=3*$N77,"更好",IF(K77-$J77=-$N77,"较差",IF(K77-$J77=-2*$N77,"差",IF(K77-$J77&lt;=-3*$N77,"更差")))))))&amp;"、可比实例B与估价对象相比"&amp;IF(L77-$J77=0,"相似",IF(L77-$J77=$N77,"较好",IF(L77-$J77=2*$N77,"好",IF(L77-$J77&gt;=3*$N77,"更好",IF(L77-$J77=-$N77,"较差",IF(L77-$J77=-2*$N77,"差",IF(L77-$J77&lt;=-3*$N77,"更差")))))))&amp;"，可比实例C与估价对象相比"&amp;IF(M77-$J77=0,"相似",IF(M77-$J77=$N77,"较好",IF(M77-$J77=2*$N77,"好",IF(M77-$J77&gt;=3*$N77,"更好",IF(M77-$J77=-$N77,"较差",IF(M77-$J77=-2*$N77,"差",IF(M77-$J77&lt;=-3*$N77,"更差")))))))&amp;",故修正系数为"&amp;K77&amp;"、"&amp;L77&amp;"、"&amp;M77&amp;"。")</f>
        <v>将装饰装修分为豪华装修、精装修、中档装修、普通装修和毛坯房五个级别，以估价对象为基准（100），将可比实例与估价对象相比，每上升或下降一个级别，则将指数增加或减少5。估价对象装饰装修为中档装修,可比实例A为中档装修、可比实例B为精装修、可比实例C为中档装修;可比实例A与估价对象相比相似、可比实例B与估价对象相比较好，可比实例C与估价对象相比相似,故修正系数为100、105、100。</v>
      </c>
    </row>
    <row r="78" spans="1:15" ht="65.25" customHeight="1" x14ac:dyDescent="0.15">
      <c r="A78" s="273"/>
      <c r="B78" s="80" t="s">
        <v>51</v>
      </c>
      <c r="C78" s="224" t="s">
        <v>45</v>
      </c>
      <c r="D78" s="224" t="s">
        <v>45</v>
      </c>
      <c r="E78" s="224" t="s">
        <v>45</v>
      </c>
      <c r="F78" s="224" t="s">
        <v>45</v>
      </c>
      <c r="H78" s="299"/>
      <c r="I78" s="74" t="str">
        <f t="shared" si="5"/>
        <v>通风采光</v>
      </c>
      <c r="J78" s="72">
        <v>100</v>
      </c>
      <c r="K78" s="72">
        <f>100-IF($C78="好",100,IF($C78="较好",100-$N78,IF($C78="一般",100-2*$N78,IF($C78="较差",100-3*$N78,IF($C78="差",100-4*$N78)))))+IF(D78="好",100,IF(D78="较好",100-$N78,IF(D78="一般",100-2*$N78,IF(D78="较差",100-3*$N78,IF(D78="差",100-4*$N78)))))</f>
        <v>100</v>
      </c>
      <c r="L78" s="72">
        <f>100-IF($C78="好",100,IF($C78="较好",100-$N78,IF($C78="一般",100-2*$N78,IF($C78="较差",100-3*$N78,IF($C78="差",100-4*$N78)))))+IF(E78="好",100,IF(E78="较好",100-$N78,IF(E78="一般",100-2*$N78,IF(E78="较差",100-3*$N78,IF(E78="差",100-4*$N78)))))</f>
        <v>100</v>
      </c>
      <c r="M78" s="72">
        <f>100-IF($C78="好",100,IF($C78="较好",100-$N78,IF($C78="一般",100-2*$N78,IF($C78="较差",100-3*$N78,IF($C78="差",100-4*$N78)))))+IF(F78="好",100,IF(F78="较好",100-$N78,IF(F78="一般",100-2*$N78,IF(F78="较差",100-3*$N78,IF(F78="差",100-4*$N78)))))</f>
        <v>100</v>
      </c>
      <c r="N78" s="76">
        <v>3</v>
      </c>
      <c r="O78" s="145" t="str">
        <f>"将"&amp;B78&amp;"分为好、较好、一般、较差、差五个级别，以估价对象为基准（100），将可比实例与估价对象相比，每上升或下降一个级别，则将指数增加或减少"&amp;N78&amp;IF(AND(C78=D78,D78=E78,E78=F78),",估价对象和可比实例A、B、C相比均为"&amp;C78&amp;"，故修正系数均为100。","。估价对象"&amp;B78&amp;"为"&amp;C78&amp;",可比实例A为"&amp;D78&amp;"、可比实例B为"&amp;E78&amp;"、可比实例C为"&amp;F78&amp;";可比实例A与估价对象相比"&amp;IF(K78-$J78=0,"相似",IF(K78-$J78=$N78,"较好",IF(K78-$J78=2*$N78,"好",IF(K78-$J78&gt;=3*$N78,"更好",IF(K78-$J78=-$N78,"较差",IF(K78-$J78=-2*$N78,"差",IF(K78-$J78&lt;=-3*$N78,"更差")))))))&amp;"、可比实例B与估价对象相比"&amp;IF(L78-$J78=0,"相似",IF(L78-$J78=$N78,"较好",IF(L78-$J78=2*$N78,"好",IF(L78-$J78&gt;=3*$N78,"更好",IF(L78-$J78=-$N78,"较差",IF(L78-$J78=-2*$N78,"差",IF(L78-$J78&lt;=-3*$N78,"更差")))))))&amp;"，可比实例C与估价对象相比"&amp;IF(M78-$J78=0,"相似",IF(M78-$J78=$N78,"较好",IF(M78-$J78=2*$N78,"好",IF(M78-$J78&gt;=3*$N78,"更好",IF(M78-$J78=-$N78,"较差",IF(M78-$J78=-2*$N78,"差",IF(M78-$J78&lt;=-3*$N78,"更差")))))))&amp;",故修正系数为"&amp;K78&amp;"、"&amp;L78&amp;"、"&amp;M78&amp;"。")</f>
        <v>将通风采光分为好、较好、一般、较差、差五个级别，以估价对象为基准（100），将可比实例与估价对象相比，每上升或下降一个级别，则将指数增加或减少3,估价对象和可比实例A、B、C相比均为好，故修正系数均为100。</v>
      </c>
    </row>
    <row r="79" spans="1:15" ht="66.75" customHeight="1" x14ac:dyDescent="0.15">
      <c r="A79" s="273"/>
      <c r="B79" s="80" t="s">
        <v>9</v>
      </c>
      <c r="C79" s="224" t="s">
        <v>53</v>
      </c>
      <c r="D79" s="224" t="s">
        <v>53</v>
      </c>
      <c r="E79" s="224" t="s">
        <v>53</v>
      </c>
      <c r="F79" s="224" t="s">
        <v>53</v>
      </c>
      <c r="H79" s="299"/>
      <c r="I79" s="74" t="str">
        <f t="shared" si="5"/>
        <v>空间布局</v>
      </c>
      <c r="J79" s="72">
        <v>100</v>
      </c>
      <c r="K79" s="72">
        <f>100-IF($C79="合理",100,IF($C79="较合理",100-$N79,IF($C79="一般",100-2*$N79,IF($C79="较不合理",100-3*$N79,IF($C79="不合理",100-4*$N79)))))+IF(D79="合理",100,IF(D79="较合理",100-$N79,IF(D79="一般",100-2*$N79,IF(D79="较不合理",100-3*$N79,IF(D79="不合理",100-4*$N79)))))</f>
        <v>100</v>
      </c>
      <c r="L79" s="72">
        <f>100-IF($C79="合理",100,IF($C79="较合理",100-$N79,IF($C79="一般",100-2*$N79,IF($C79="较不合理",100-3*$N79,IF($C79="不合理",100-4*$N79)))))+IF(E79="合理",100,IF(E79="较合理",100-$N79,IF(E79="一般",100-2*$N79,IF(E79="较不合理",100-3*$N79,IF(E79="不合理",100-4*$N79)))))</f>
        <v>100</v>
      </c>
      <c r="M79" s="72">
        <f>100-IF($C79="合理",100,IF($C79="较合理",100-$N79,IF($C79="一般",100-2*$N79,IF($C79="较不合理",100-3*$N79,IF($C79="不合理",100-4*$N79)))))+IF(F79="合理",100,IF(F79="较合理",100-$N79,IF(F79="一般",100-2*$N79,IF(F79="较不合理",100-3*$N79,IF(F79="不合理",100-4*$N79)))))</f>
        <v>100</v>
      </c>
      <c r="N79" s="76">
        <v>3</v>
      </c>
      <c r="O79" s="145" t="str">
        <f>"将"&amp;B79&amp;"分为合理、较合理、一般、较不合理、不合理五个级别，以估价对象为基准（100），将可比实例与估价对象相比，每上升或下降一个级别，则将指数增加或减少"&amp;N79&amp;IF(AND(C79=D79,D79=E79,E79=F79),",估价对象和可比实例A、B、C相比均为"&amp;C79&amp;"，故修正系数均为100。","。估价对象"&amp;B79&amp;"为"&amp;C79&amp;",可比实例A为"&amp;D79&amp;"、可比实例B为"&amp;E79&amp;"、可比实例C为"&amp;F79&amp;";可比实例A与估价对象相比"&amp;IF(K79-$J79=0,"相似",IF(K79-$J79=$N79,"较好",IF(K79-$J79=2*$N79,"好",IF(K79-$J79&gt;=3*$N79,"更好",IF(K79-$J79=-$N79,"较差",IF(K79-$J79=-2*$N79,"差",IF(K79-$J79&lt;=-3*$N79,"更差")))))))&amp;"、可比实例B与估价对象相比"&amp;IF(L79-$J79=0,"相似",IF(L79-$J79=$N79,"较好",IF(L79-$J79=2*$N79,"好",IF(L79-$J79&gt;=3*$N79,"更好",IF(L79-$J79=-$N79,"较差",IF(L79-$J79=-2*$N79,"差",IF(L79-$J79&lt;=-3*$N79,"更差")))))))&amp;"，可比实例C与估价对象相比"&amp;IF(M79-$J79=0,"相似",IF(M79-$J79=$N79,"较好",IF(M79-$J79=2*$N79,"好",IF(M79-$J79&gt;=3*$N79,"更好",IF(M79-$J79=-$N79,"较差",IF(M79-$J79=-2*$N79,"差",IF(M79-$J79&lt;=-3*$N79,"更差")))))))&amp;",故修正系数为"&amp;K79&amp;"、"&amp;L79&amp;"、"&amp;M79&amp;"。")</f>
        <v>将空间布局分为合理、较合理、一般、较不合理、不合理五个级别，以估价对象为基准（100），将可比实例与估价对象相比，每上升或下降一个级别，则将指数增加或减少3,估价对象和可比实例A、B、C相比均为合理，故修正系数均为100。</v>
      </c>
    </row>
    <row r="80" spans="1:15" ht="73.5" customHeight="1" x14ac:dyDescent="0.15">
      <c r="A80" s="273"/>
      <c r="B80" s="80" t="s">
        <v>54</v>
      </c>
      <c r="C80" s="224" t="s">
        <v>45</v>
      </c>
      <c r="D80" s="224" t="s">
        <v>45</v>
      </c>
      <c r="E80" s="224" t="s">
        <v>45</v>
      </c>
      <c r="F80" s="224" t="s">
        <v>45</v>
      </c>
      <c r="H80" s="299"/>
      <c r="I80" s="74" t="str">
        <f t="shared" si="5"/>
        <v>物业管理</v>
      </c>
      <c r="J80" s="72">
        <v>100</v>
      </c>
      <c r="K80" s="72">
        <f>100-IF($C80="好",100,IF($C80="较好",100-$N80,IF($C80="一般",100-2*$N80,IF($C80="较差",100-3*$N80,IF($C80="差",100-4*$N80)))))+IF(D80="好",100,IF(D80="较好",100-$N80,IF(D80="一般",100-2*$N80,IF(D80="较差",100-3*$N80,IF(D80="差",100-4*$N80)))))</f>
        <v>100</v>
      </c>
      <c r="L80" s="72">
        <f>100-IF($C80="好",100,IF($C80="较好",100-$N80,IF($C80="一般",100-2*$N80,IF($C80="较差",100-3*$N80,IF($C80="差",100-4*$N80)))))+IF(E80="好",100,IF(E80="较好",100-$N80,IF(E80="一般",100-2*$N80,IF(E80="较差",100-3*$N80,IF(E80="差",100-4*$N80)))))</f>
        <v>100</v>
      </c>
      <c r="M80" s="72">
        <f>100-IF($C80="好",100,IF($C80="较好",100-$N80,IF($C80="一般",100-2*$N80,IF($C80="较差",100-3*$N80,IF($C80="差",100-4*$N80)))))+IF(F80="好",100,IF(F80="较好",100-$N80,IF(F80="一般",100-2*$N80,IF(F80="较差",100-3*$N80,IF(F80="差",100-4*$N80)))))</f>
        <v>100</v>
      </c>
      <c r="N80" s="76">
        <v>3</v>
      </c>
      <c r="O80" s="145" t="str">
        <f>"将"&amp;B80&amp;"分为好、较好、一般、较差、差五个级别，以估价对象为基准（100），将可比实例与估价对象相比，每上升或下降一个级别，则将指数增加或减少"&amp;N80&amp;IF(AND(C80=D80,D80=E80,E80=F80),",估价对象和可比实例A、B、C相比均为"&amp;C80&amp;"，故修正系数均为100。","。估价对象"&amp;B80&amp;"为"&amp;C80&amp;",可比实例A为"&amp;D80&amp;"、可比实例B为"&amp;E80&amp;"、可比实例C为"&amp;F80&amp;";可比实例A与估价对象相比"&amp;IF(K80-$J80=0,"相似",IF(K80-$J80=$N80,"较好",IF(K80-$J80=2*$N80,"好",IF(K80-$J80&gt;=3*$N80,"更好",IF(K80-$J80=-$N80,"较差",IF(K80-$J80=-2*$N80,"差",IF(K80-$J80&lt;=-3*$N80,"更差")))))))&amp;"、可比实例B与估价对象相比"&amp;IF(L80-$J80=0,"相似",IF(L80-$J80=$N80,"较好",IF(L80-$J80=2*$N80,"好",IF(L80-$J80&gt;=3*$N80,"更好",IF(L80-$J80=-$N80,"较差",IF(L80-$J80=-2*$N80,"差",IF(L80-$J80&lt;=-3*$N80,"更差")))))))&amp;"，可比实例C与估价对象相比"&amp;IF(M80-$J80=0,"相似",IF(M80-$J80=$N80,"较好",IF(M80-$J80=2*$N80,"好",IF(M80-$J80&gt;=3*$N80,"更好",IF(M80-$J80=-$N80,"较差",IF(M80-$J80=-2*$N80,"差",IF(M80-$J80&lt;=-3*$N80,"更差")))))))&amp;",故修正系数为"&amp;K80&amp;"、"&amp;L80&amp;"、"&amp;M80&amp;"。")</f>
        <v>将物业管理分为好、较好、一般、较差、差五个级别，以估价对象为基准（100），将可比实例与估价对象相比，每上升或下降一个级别，则将指数增加或减少3,估价对象和可比实例A、B、C相比均为好，故修正系数均为100。</v>
      </c>
    </row>
    <row r="81" spans="1:15" ht="145.5" customHeight="1" x14ac:dyDescent="0.15">
      <c r="A81" s="273"/>
      <c r="B81" s="80" t="s">
        <v>7</v>
      </c>
      <c r="C81" s="110">
        <f>建筑面积</f>
        <v>266.43</v>
      </c>
      <c r="D81" s="110">
        <v>99.35</v>
      </c>
      <c r="E81" s="110">
        <v>99.75</v>
      </c>
      <c r="F81" s="110">
        <v>99.76</v>
      </c>
      <c r="H81" s="299"/>
      <c r="I81" s="74" t="str">
        <f t="shared" si="5"/>
        <v>面积</v>
      </c>
      <c r="J81" s="72">
        <v>100</v>
      </c>
      <c r="K81" s="72">
        <f>IF(AND(D81/$C81&gt;80%,D81/$C81&lt;120%),100,IF(OR(AND(D81/$C81&gt;60%,D81/$C81&lt;=80%),AND(D81/$C81&gt;=120%,D81/$C81&lt;=140%)),100-$N81,IF(OR(D81/$C81&gt;140%,D81/$C81&lt;=60%),100-2*$N81)))</f>
        <v>94</v>
      </c>
      <c r="L81" s="72">
        <f>IF(AND(E81/$C81&gt;80%,E81/$C81&lt;120%),100,IF(OR(AND(E81/$C81&gt;60%,E81/$C81&lt;=80%),AND(E81/$C81&gt;=120%,E81/$C81&lt;=140%)),100-$N81,IF(OR(E81/$C81&gt;140%,E81/$C81&lt;=60%),100-2*$N81)))</f>
        <v>94</v>
      </c>
      <c r="M81" s="72">
        <f>IF(AND(F81/$C81&gt;80%,F81/$C81&lt;120%),100,IF(OR(AND(F81/$C81&gt;60%,F81/$C81&lt;=80%),AND(F81/$C81&gt;=120%,F81/$C81&lt;=140%)),100-$N81,IF(OR(F81/$C81&gt;140%,F81/$C81&lt;=60%),100-2*$N81)))</f>
        <v>94</v>
      </c>
      <c r="N81" s="76">
        <v>3</v>
      </c>
      <c r="O81" s="145" t="str">
        <f>IFERROR("将"&amp;B81&amp;"分为面积适中适合使用、面积偏大较适合使用、面积偏小较适合使用、面积太大不适合使用、面积太小不适合使用五个级别，以估价对象为基准（100），将可比实例与估价对象相比，每上升或下降一个级别，则将指数增加或减少"&amp;N81&amp;"。估价对象"&amp;B81&amp;"为"&amp;C81&amp;",可比实例A为"&amp;D81&amp;"、可比实例B为"&amp;E81&amp;"、可比实例C为"&amp;F81&amp;";可比实例A与估价对象相比"&amp;(IF(AND(D81/$C81&gt;80%,D81/$C81&lt;120%),"面积适中适合使用",IF(AND(D81/$C81&gt;60%,D81/$C81&lt;=80%),"面积偏小较适合使用",IF(AND(D81/$C81&gt;=120%,D81/$C81&lt;=140%),"面积偏大较适合使用",IF(D81/$C81&gt;140%,"面积太大不适合使用",IF(D81/$C81&lt;=60%,"面积太小不适合")))))&amp;";"&amp;"可比实例B与估价对象相比"&amp;(IF(AND(E81/$C81&gt;80%,E81/$C81&lt;120%),"面积适中适合使用",IF(AND(E81/$C81&gt;60%,E81/$C81&lt;=80%),"面积偏小较适合使用",IF(AND(E81/$C81&gt;=120%,E81/$C81&lt;=140%),"面积偏大较适合使用",IF(E81/$C81&gt;140%,"面积太大不适合使用",IF(E81/$C81&lt;=60%,"面积太小不适合")))))&amp;";可比实例C与估价对象相比"&amp;(IF(AND(F81/$C81&gt;80%,F81/$C81&lt;120%),"面积适中适合使用",IF(AND(F81/$C81&gt;60%,F81/$C81&lt;=80%),"面积偏小较适合使用",IF(AND(F81/$C81&gt;=120%,F81/$C81&lt;=140%),"面积偏大较适合使用",IF(F81/$C81&gt;140%,"面积太大不适合使用",IF(F81/$C81&lt;=60%,"面积太小不适合"))))))))&amp;IF(AND(J81=K81,K81=L81,L81=M81),"故修正系数均为100。","故修正系数为"&amp;K81&amp;"、"&amp;L81&amp;"、"&amp;M81&amp;"。"),"请输入估价对象房屋建筑面积")</f>
        <v>将面积分为面积适中适合使用、面积偏大较适合使用、面积偏小较适合使用、面积太大不适合使用、面积太小不适合使用五个级别，以估价对象为基准（100），将可比实例与估价对象相比，每上升或下降一个级别，则将指数增加或减少3。估价对象面积为266.43,可比实例A为99.35、可比实例B为99.75、可比实例C为99.76;可比实例A与估价对象相比面积太小不适合;可比实例B与估价对象相比面积太小不适合;可比实例C与估价对象相比面积太小不适合故修正系数为94、94、94。</v>
      </c>
    </row>
    <row r="82" spans="1:15" ht="68.25" customHeight="1" x14ac:dyDescent="0.15">
      <c r="A82" s="273"/>
      <c r="B82" s="274" t="s">
        <v>55</v>
      </c>
      <c r="C82" s="224">
        <f>建成时间</f>
        <v>2012</v>
      </c>
      <c r="D82" s="110">
        <f>C82</f>
        <v>2012</v>
      </c>
      <c r="E82" s="110">
        <f>C82</f>
        <v>2012</v>
      </c>
      <c r="F82" s="110">
        <f>C82</f>
        <v>2012</v>
      </c>
      <c r="H82" s="299"/>
      <c r="I82" s="74" t="str">
        <f t="shared" si="5"/>
        <v>新旧程度</v>
      </c>
      <c r="J82" s="72">
        <v>100</v>
      </c>
      <c r="K82" s="72">
        <f>IF(D82&gt;C82,100+ROUND((D82-C82-1)/2,0)*N82,IF(D82&lt;C82,100+ROUND((D82-C82+1)/2,0)*N82,IF(D82=C82,100)))</f>
        <v>100</v>
      </c>
      <c r="L82" s="72">
        <f>IF(E82&gt;C82,100+ROUND((E82-C82-1)/2,0)*N82,IF(E82&lt;C82,100+ROUND((E82-C82+1)/2,0)*N82,IF(E82=C82,100)))</f>
        <v>100</v>
      </c>
      <c r="M82" s="72">
        <f>IF(F82&gt;C82,100+ROUND((F82-C82-1)/2,0)*N82,IF(F82&lt;C82,100+ROUND((F82-C82+1)/2,0)*N82,IF(F82=C82,100)))</f>
        <v>100</v>
      </c>
      <c r="N82" s="76">
        <v>3</v>
      </c>
      <c r="O82" s="145" t="str">
        <f>"以估价对象建筑年代修正系数为100，将可比实例与估价对象相比，每相差2年，则指数增加或减小"&amp;N82&amp;"。估价对象建成年代为"&amp;C82&amp;"年、可比实例A为"&amp;D82&amp;"年、可比实例B为"&amp;E82&amp;"年、可比实例C为"&amp;F82&amp;"年;"&amp;IF(AND(J82=K82,K82=L82,L82=M82),"故修正系数均为100。","故修正系数为"&amp;K82&amp;"、"&amp;L82&amp;"、"&amp;M82&amp;"。")</f>
        <v>以估价对象建筑年代修正系数为100，将可比实例与估价对象相比，每相差2年，则指数增加或减小3。估价对象建成年代为2012年、可比实例A为2012年、可比实例B为2012年、可比实例C为2012年;故修正系数均为100。</v>
      </c>
    </row>
    <row r="83" spans="1:15" ht="51" customHeight="1" x14ac:dyDescent="0.15">
      <c r="A83" s="273"/>
      <c r="B83" s="274"/>
      <c r="C83" s="142"/>
      <c r="D83" s="143"/>
      <c r="E83" s="143"/>
      <c r="F83" s="143"/>
      <c r="H83" s="300"/>
      <c r="I83" s="74" t="s">
        <v>224</v>
      </c>
      <c r="J83" s="77">
        <v>100</v>
      </c>
      <c r="K83" s="77">
        <f>100-SUM(J74:J82)+SUM(K74:K82)</f>
        <v>94</v>
      </c>
      <c r="L83" s="77">
        <f>100-SUM(J74:J82)+SUM(L74:L82)</f>
        <v>99</v>
      </c>
      <c r="M83" s="77">
        <f>100-SUM(J74:J82)+SUM(M74:M82)</f>
        <v>94</v>
      </c>
      <c r="N83" s="76" t="s">
        <v>212</v>
      </c>
      <c r="O83" s="145"/>
    </row>
    <row r="84" spans="1:15" ht="39.75" customHeight="1" x14ac:dyDescent="0.15">
      <c r="A84" s="273" t="s">
        <v>310</v>
      </c>
      <c r="B84" s="80" t="s">
        <v>5</v>
      </c>
      <c r="C84" s="76" t="str">
        <f>土地使用权类型</f>
        <v>出让</v>
      </c>
      <c r="D84" s="110" t="s">
        <v>201</v>
      </c>
      <c r="E84" s="110" t="s">
        <v>201</v>
      </c>
      <c r="F84" s="110" t="s">
        <v>6</v>
      </c>
      <c r="H84" s="298" t="str">
        <f>A84</f>
        <v>权益状况</v>
      </c>
      <c r="I84" s="74" t="str">
        <f>B84</f>
        <v>土地使用权类型</v>
      </c>
      <c r="J84" s="72">
        <v>100</v>
      </c>
      <c r="K84" s="72">
        <v>100</v>
      </c>
      <c r="L84" s="72">
        <f>100</f>
        <v>100</v>
      </c>
      <c r="M84" s="72">
        <f>100</f>
        <v>100</v>
      </c>
      <c r="N84" s="76">
        <v>3</v>
      </c>
      <c r="O84" s="145" t="str">
        <f>"可比实例与估价对象的土地均为"&amp;C84&amp;"，则估价对象和可比实例A、B、C土地使用权类型修正系数均为100。"</f>
        <v>可比实例与估价对象的土地均为出让，则估价对象和可比实例A、B、C土地使用权类型修正系数均为100。</v>
      </c>
    </row>
    <row r="85" spans="1:15" ht="39.75" customHeight="1" x14ac:dyDescent="0.15">
      <c r="A85" s="273"/>
      <c r="B85" s="81" t="s">
        <v>57</v>
      </c>
      <c r="C85" s="224">
        <f>ROUND((土地使用权终止日期-价值时点)/365.25,2)</f>
        <v>26.42</v>
      </c>
      <c r="D85" s="226" t="s">
        <v>225</v>
      </c>
      <c r="E85" s="226" t="s">
        <v>225</v>
      </c>
      <c r="F85" s="226" t="s">
        <v>225</v>
      </c>
      <c r="H85" s="299"/>
      <c r="I85" s="82" t="str">
        <f>B85</f>
        <v>土地使用权剩余使用年期</v>
      </c>
      <c r="J85" s="79">
        <v>100</v>
      </c>
      <c r="K85" s="79">
        <v>100</v>
      </c>
      <c r="L85" s="79">
        <v>100</v>
      </c>
      <c r="M85" s="79">
        <v>100</v>
      </c>
      <c r="N85" s="78">
        <v>3</v>
      </c>
      <c r="O85" s="144" t="s">
        <v>204</v>
      </c>
    </row>
    <row r="86" spans="1:15" ht="39.75" customHeight="1" x14ac:dyDescent="0.15">
      <c r="A86" s="273"/>
      <c r="B86" s="80" t="s">
        <v>59</v>
      </c>
      <c r="C86" s="76" t="s">
        <v>60</v>
      </c>
      <c r="D86" s="76" t="s">
        <v>60</v>
      </c>
      <c r="E86" s="76" t="s">
        <v>60</v>
      </c>
      <c r="F86" s="76" t="s">
        <v>60</v>
      </c>
      <c r="H86" s="299"/>
      <c r="I86" s="74" t="str">
        <f>B86</f>
        <v>有无租约限制</v>
      </c>
      <c r="J86" s="72">
        <v>100</v>
      </c>
      <c r="K86" s="72">
        <v>100</v>
      </c>
      <c r="L86" s="72">
        <v>100</v>
      </c>
      <c r="M86" s="72">
        <v>100</v>
      </c>
      <c r="N86" s="76">
        <v>3</v>
      </c>
      <c r="O86" s="145" t="str">
        <f>"由于租赁或占用情况的设立对房地产价格影响较大，本次评估未考虑租约限制的影响,则估价对象和可比实例A、B、C修正系数均为100。"</f>
        <v>由于租赁或占用情况的设立对房地产价格影响较大，本次评估未考虑租约限制的影响,则估价对象和可比实例A、B、C修正系数均为100。</v>
      </c>
    </row>
    <row r="87" spans="1:15" ht="39.75" customHeight="1" x14ac:dyDescent="0.15">
      <c r="A87" s="273"/>
      <c r="B87" s="80" t="s">
        <v>61</v>
      </c>
      <c r="C87" s="110" t="s">
        <v>60</v>
      </c>
      <c r="D87" s="76" t="s">
        <v>60</v>
      </c>
      <c r="E87" s="76" t="s">
        <v>60</v>
      </c>
      <c r="F87" s="76" t="s">
        <v>60</v>
      </c>
      <c r="H87" s="299"/>
      <c r="I87" s="74" t="str">
        <f>B87</f>
        <v>有无抵押他项权</v>
      </c>
      <c r="J87" s="72">
        <v>100</v>
      </c>
      <c r="K87" s="72">
        <v>100</v>
      </c>
      <c r="L87" s="72">
        <v>100</v>
      </c>
      <c r="M87" s="72">
        <v>100</v>
      </c>
      <c r="N87" s="76">
        <v>3</v>
      </c>
      <c r="O87" s="145" t="str">
        <f>"本次评估未考虑抵押的影响,则估价对象和可比实例A、B、C修正系数均为100。"</f>
        <v>本次评估未考虑抵押的影响,则估价对象和可比实例A、B、C修正系数均为100。</v>
      </c>
    </row>
    <row r="88" spans="1:15" x14ac:dyDescent="0.15">
      <c r="A88" s="75"/>
      <c r="B88" s="75"/>
      <c r="C88" s="75"/>
      <c r="D88" s="75"/>
      <c r="E88" s="75"/>
      <c r="F88" s="75"/>
      <c r="G88" s="75"/>
      <c r="H88" s="300"/>
      <c r="I88" s="83" t="s">
        <v>226</v>
      </c>
      <c r="J88" s="77">
        <v>100</v>
      </c>
      <c r="K88" s="77">
        <f>ROUND(100/(100/K84*100/K85*100/K86*100/K87),2)</f>
        <v>100</v>
      </c>
      <c r="L88" s="77">
        <f>ROUND(100/(100/L84*100/L85*100/L86*100/L87),2)</f>
        <v>100</v>
      </c>
      <c r="M88" s="77">
        <f>ROUND(100/(100/M84*100/M85*100/M86*100/M87),2)</f>
        <v>100</v>
      </c>
      <c r="N88" s="76" t="s">
        <v>212</v>
      </c>
      <c r="O88" s="73"/>
    </row>
    <row r="89" spans="1:15" ht="26.25" customHeight="1" x14ac:dyDescent="0.15">
      <c r="A89" s="75"/>
      <c r="B89" s="75"/>
      <c r="C89" s="75"/>
      <c r="D89" s="75"/>
      <c r="E89" s="75"/>
      <c r="F89" s="75"/>
      <c r="G89" s="75"/>
      <c r="H89" s="76" t="s">
        <v>212</v>
      </c>
      <c r="I89" s="297" t="s">
        <v>29</v>
      </c>
      <c r="J89" s="297"/>
      <c r="K89" s="77">
        <f>IFERROR(ROUND(D58/K59/K60/K73/K83/K88*100^5,0),0)</f>
        <v>8940</v>
      </c>
      <c r="L89" s="77">
        <f>IFERROR(ROUND(E58/L59/L60/L73/L83/L88*100^5,0),0)</f>
        <v>9197</v>
      </c>
      <c r="M89" s="77">
        <f>IFERROR(ROUND(F58/M59/M60/M73/M83/M88*100^5,0),0)</f>
        <v>9155</v>
      </c>
      <c r="N89" s="76" t="s">
        <v>212</v>
      </c>
      <c r="O89" s="73"/>
    </row>
    <row r="90" spans="1:15" ht="42" customHeight="1" x14ac:dyDescent="0.15">
      <c r="A90" s="75"/>
      <c r="B90" s="75"/>
      <c r="C90" s="75"/>
      <c r="D90" s="75"/>
      <c r="E90" s="75"/>
      <c r="F90" s="75"/>
      <c r="G90" s="75"/>
      <c r="H90" s="76" t="s">
        <v>212</v>
      </c>
      <c r="I90" s="77" t="s">
        <v>227</v>
      </c>
      <c r="J90" s="77">
        <f>ROUND((K89+L89+M89)/3,-2)</f>
        <v>9100</v>
      </c>
      <c r="K90" s="72" t="s">
        <v>228</v>
      </c>
      <c r="L90" s="72">
        <f>ROUND(J90*C81/10000,2)</f>
        <v>242.45</v>
      </c>
      <c r="M90" s="72" t="s">
        <v>229</v>
      </c>
      <c r="N90" s="74" t="str">
        <f>IF((MAX(K89:M89)-MIN(K89:M89))/MIN(K89:M89)&gt;20%,"× 选择案例不合理(最高与最低价差超过20%","✓ 选择案例合理")</f>
        <v>✓ 选择案例合理</v>
      </c>
      <c r="O90" s="73"/>
    </row>
    <row r="91" spans="1:15" ht="42" customHeight="1" x14ac:dyDescent="0.15">
      <c r="A91" s="370" t="s">
        <v>568</v>
      </c>
      <c r="B91" s="370"/>
      <c r="C91" s="370"/>
      <c r="D91" s="370"/>
      <c r="E91" s="370"/>
      <c r="F91" s="370"/>
      <c r="G91" s="75"/>
      <c r="H91" s="355"/>
      <c r="I91" s="356"/>
      <c r="J91" s="356"/>
      <c r="K91" s="357"/>
      <c r="L91" s="357"/>
      <c r="M91" s="357"/>
      <c r="N91" s="358"/>
      <c r="O91" s="73"/>
    </row>
    <row r="92" spans="1:15" ht="42" customHeight="1" x14ac:dyDescent="0.15">
      <c r="A92" s="359" t="s">
        <v>23</v>
      </c>
      <c r="B92" s="359"/>
      <c r="C92" s="360" t="s">
        <v>24</v>
      </c>
      <c r="D92" s="360" t="s">
        <v>15</v>
      </c>
      <c r="E92" s="360" t="s">
        <v>16</v>
      </c>
      <c r="F92" s="360" t="s">
        <v>17</v>
      </c>
      <c r="G92" s="75"/>
      <c r="H92" s="359" t="s">
        <v>23</v>
      </c>
      <c r="I92" s="359"/>
      <c r="J92" s="360" t="s">
        <v>24</v>
      </c>
      <c r="K92" s="360" t="s">
        <v>15</v>
      </c>
      <c r="L92" s="360" t="s">
        <v>16</v>
      </c>
      <c r="M92" s="360" t="s">
        <v>17</v>
      </c>
      <c r="N92" s="358"/>
      <c r="O92" s="73"/>
    </row>
    <row r="93" spans="1:15" ht="42" customHeight="1" x14ac:dyDescent="0.15">
      <c r="A93" s="361" t="s">
        <v>2</v>
      </c>
      <c r="B93" s="362"/>
      <c r="C93" s="363" t="str">
        <f>坐落</f>
        <v>渝中区长江一路79号15-1、15-6#</v>
      </c>
      <c r="D93" s="363" t="s">
        <v>538</v>
      </c>
      <c r="E93" s="363" t="s">
        <v>538</v>
      </c>
      <c r="F93" s="363" t="s">
        <v>538</v>
      </c>
      <c r="G93" s="75"/>
      <c r="H93" s="359" t="s">
        <v>1</v>
      </c>
      <c r="I93" s="359"/>
      <c r="J93" s="360" t="str">
        <f t="shared" ref="J93:M93" si="6">C93</f>
        <v>渝中区长江一路79号15-1、15-6#</v>
      </c>
      <c r="K93" s="360" t="str">
        <f t="shared" si="6"/>
        <v>南岸区长电路</v>
      </c>
      <c r="L93" s="360" t="str">
        <f t="shared" si="6"/>
        <v>南岸区长电路</v>
      </c>
      <c r="M93" s="360" t="str">
        <f t="shared" si="6"/>
        <v>南岸区长电路</v>
      </c>
      <c r="N93" s="358"/>
      <c r="O93" s="73"/>
    </row>
    <row r="94" spans="1:15" ht="42" customHeight="1" x14ac:dyDescent="0.15">
      <c r="A94" s="364"/>
      <c r="B94" s="365"/>
      <c r="C94" s="366"/>
      <c r="D94" s="366"/>
      <c r="E94" s="366"/>
      <c r="F94" s="366"/>
      <c r="G94" s="75"/>
      <c r="H94" s="359" t="s">
        <v>539</v>
      </c>
      <c r="I94" s="359"/>
      <c r="J94" s="360" t="str">
        <f t="shared" ref="J94:M94" si="7">C95</f>
        <v>待求</v>
      </c>
      <c r="K94" s="360">
        <f t="shared" si="7"/>
        <v>0</v>
      </c>
      <c r="L94" s="360">
        <f t="shared" si="7"/>
        <v>0</v>
      </c>
      <c r="M94" s="360">
        <f t="shared" si="7"/>
        <v>0</v>
      </c>
      <c r="N94" s="358"/>
      <c r="O94" s="73"/>
    </row>
    <row r="95" spans="1:15" ht="42" customHeight="1" x14ac:dyDescent="0.15">
      <c r="A95" s="359" t="s">
        <v>539</v>
      </c>
      <c r="B95" s="359"/>
      <c r="C95" s="360" t="s">
        <v>29</v>
      </c>
      <c r="D95" s="360">
        <f>E120</f>
        <v>0</v>
      </c>
      <c r="E95" s="360">
        <f>E121</f>
        <v>0</v>
      </c>
      <c r="F95" s="360">
        <f>E122</f>
        <v>0</v>
      </c>
      <c r="G95" s="75"/>
      <c r="H95" s="359" t="s">
        <v>30</v>
      </c>
      <c r="I95" s="359"/>
      <c r="J95" s="360">
        <v>100</v>
      </c>
      <c r="K95" s="360">
        <v>100</v>
      </c>
      <c r="L95" s="360">
        <v>100</v>
      </c>
      <c r="M95" s="360">
        <v>100</v>
      </c>
      <c r="N95" s="358"/>
      <c r="O95" s="73"/>
    </row>
    <row r="96" spans="1:15" ht="42" customHeight="1" x14ac:dyDescent="0.15">
      <c r="A96" s="359" t="s">
        <v>30</v>
      </c>
      <c r="B96" s="359"/>
      <c r="C96" s="360" t="s">
        <v>69</v>
      </c>
      <c r="D96" s="360">
        <v>2024.12</v>
      </c>
      <c r="E96" s="360">
        <v>2025.2</v>
      </c>
      <c r="F96" s="360">
        <v>2025.1</v>
      </c>
      <c r="G96" s="75"/>
      <c r="H96" s="359" t="s">
        <v>566</v>
      </c>
      <c r="I96" s="359"/>
      <c r="J96" s="360">
        <v>100</v>
      </c>
      <c r="K96" s="360">
        <v>100</v>
      </c>
      <c r="L96" s="360">
        <v>100</v>
      </c>
      <c r="M96" s="360">
        <v>100</v>
      </c>
      <c r="N96" s="358"/>
      <c r="O96" s="73"/>
    </row>
    <row r="97" spans="1:15" ht="42" customHeight="1" x14ac:dyDescent="0.15">
      <c r="A97" s="359" t="s">
        <v>19</v>
      </c>
      <c r="B97" s="359"/>
      <c r="C97" s="360" t="s">
        <v>69</v>
      </c>
      <c r="D97" s="360" t="s">
        <v>31</v>
      </c>
      <c r="E97" s="360" t="s">
        <v>31</v>
      </c>
      <c r="F97" s="360" t="s">
        <v>31</v>
      </c>
      <c r="G97" s="75"/>
      <c r="H97" s="359" t="s">
        <v>32</v>
      </c>
      <c r="I97" s="367" t="s">
        <v>540</v>
      </c>
      <c r="J97" s="360">
        <v>100</v>
      </c>
      <c r="K97" s="360">
        <v>100</v>
      </c>
      <c r="L97" s="360">
        <v>100</v>
      </c>
      <c r="M97" s="360">
        <v>100</v>
      </c>
      <c r="N97" s="358"/>
      <c r="O97" s="73"/>
    </row>
    <row r="98" spans="1:15" ht="42" customHeight="1" x14ac:dyDescent="0.15">
      <c r="A98" s="359"/>
      <c r="B98" s="367" t="s">
        <v>540</v>
      </c>
      <c r="C98" s="367" t="s">
        <v>541</v>
      </c>
      <c r="D98" s="367" t="s">
        <v>541</v>
      </c>
      <c r="E98" s="367" t="s">
        <v>541</v>
      </c>
      <c r="F98" s="367" t="s">
        <v>541</v>
      </c>
      <c r="G98" s="75"/>
      <c r="H98" s="359"/>
      <c r="I98" s="367" t="s">
        <v>542</v>
      </c>
      <c r="J98" s="360">
        <v>100</v>
      </c>
      <c r="K98" s="360">
        <v>100</v>
      </c>
      <c r="L98" s="360">
        <v>100</v>
      </c>
      <c r="M98" s="360">
        <v>100</v>
      </c>
      <c r="N98" s="358"/>
      <c r="O98" s="73"/>
    </row>
    <row r="99" spans="1:15" ht="42" customHeight="1" x14ac:dyDescent="0.15">
      <c r="A99" s="359"/>
      <c r="B99" s="367" t="s">
        <v>542</v>
      </c>
      <c r="C99" s="367" t="s">
        <v>543</v>
      </c>
      <c r="D99" s="367" t="s">
        <v>543</v>
      </c>
      <c r="E99" s="367" t="s">
        <v>543</v>
      </c>
      <c r="F99" s="367" t="s">
        <v>543</v>
      </c>
      <c r="G99" s="75"/>
      <c r="H99" s="359"/>
      <c r="I99" s="367" t="s">
        <v>544</v>
      </c>
      <c r="J99" s="360">
        <v>100</v>
      </c>
      <c r="K99" s="360">
        <v>100</v>
      </c>
      <c r="L99" s="360">
        <v>100</v>
      </c>
      <c r="M99" s="360">
        <v>100</v>
      </c>
      <c r="N99" s="358"/>
      <c r="O99" s="73"/>
    </row>
    <row r="100" spans="1:15" ht="42" customHeight="1" x14ac:dyDescent="0.15">
      <c r="A100" s="359"/>
      <c r="B100" s="367" t="s">
        <v>544</v>
      </c>
      <c r="C100" s="367" t="s">
        <v>34</v>
      </c>
      <c r="D100" s="367" t="s">
        <v>34</v>
      </c>
      <c r="E100" s="367" t="s">
        <v>34</v>
      </c>
      <c r="F100" s="367" t="s">
        <v>34</v>
      </c>
      <c r="G100" s="75"/>
      <c r="H100" s="359"/>
      <c r="I100" s="367" t="s">
        <v>545</v>
      </c>
      <c r="J100" s="360">
        <v>100</v>
      </c>
      <c r="K100" s="360">
        <v>100</v>
      </c>
      <c r="L100" s="360">
        <v>100</v>
      </c>
      <c r="M100" s="360">
        <v>100</v>
      </c>
      <c r="N100" s="358"/>
      <c r="O100" s="73"/>
    </row>
    <row r="101" spans="1:15" ht="42" customHeight="1" x14ac:dyDescent="0.15">
      <c r="A101" s="359"/>
      <c r="B101" s="367" t="s">
        <v>545</v>
      </c>
      <c r="C101" s="367" t="s">
        <v>34</v>
      </c>
      <c r="D101" s="367" t="s">
        <v>34</v>
      </c>
      <c r="E101" s="367" t="s">
        <v>34</v>
      </c>
      <c r="F101" s="367" t="s">
        <v>34</v>
      </c>
      <c r="G101" s="75"/>
      <c r="H101" s="359"/>
      <c r="I101" s="367" t="s">
        <v>546</v>
      </c>
      <c r="J101" s="360">
        <v>100</v>
      </c>
      <c r="K101" s="360">
        <v>100</v>
      </c>
      <c r="L101" s="360">
        <v>100</v>
      </c>
      <c r="M101" s="360">
        <v>100</v>
      </c>
      <c r="N101" s="358"/>
      <c r="O101" s="73"/>
    </row>
    <row r="102" spans="1:15" ht="42" customHeight="1" x14ac:dyDescent="0.15">
      <c r="A102" s="359"/>
      <c r="B102" s="367" t="s">
        <v>546</v>
      </c>
      <c r="C102" s="367" t="s">
        <v>34</v>
      </c>
      <c r="D102" s="367" t="s">
        <v>34</v>
      </c>
      <c r="E102" s="367" t="s">
        <v>34</v>
      </c>
      <c r="F102" s="367" t="s">
        <v>34</v>
      </c>
      <c r="G102" s="75"/>
      <c r="H102" s="359"/>
      <c r="I102" s="367" t="s">
        <v>547</v>
      </c>
      <c r="J102" s="360">
        <v>100</v>
      </c>
      <c r="K102" s="360">
        <v>100</v>
      </c>
      <c r="L102" s="360">
        <v>100</v>
      </c>
      <c r="M102" s="360">
        <v>100</v>
      </c>
      <c r="N102" s="358"/>
      <c r="O102" s="73"/>
    </row>
    <row r="103" spans="1:15" ht="42" customHeight="1" x14ac:dyDescent="0.15">
      <c r="A103" s="359"/>
      <c r="B103" s="367" t="s">
        <v>547</v>
      </c>
      <c r="C103" s="367" t="s">
        <v>34</v>
      </c>
      <c r="D103" s="367" t="s">
        <v>34</v>
      </c>
      <c r="E103" s="367" t="s">
        <v>34</v>
      </c>
      <c r="F103" s="367" t="s">
        <v>34</v>
      </c>
      <c r="G103" s="75"/>
      <c r="H103" s="359"/>
      <c r="I103" s="367" t="s">
        <v>548</v>
      </c>
      <c r="J103" s="360">
        <v>100</v>
      </c>
      <c r="K103" s="360">
        <v>100</v>
      </c>
      <c r="L103" s="360">
        <v>100</v>
      </c>
      <c r="M103" s="360">
        <v>100</v>
      </c>
      <c r="N103" s="358"/>
      <c r="O103" s="73"/>
    </row>
    <row r="104" spans="1:15" ht="42" customHeight="1" x14ac:dyDescent="0.15">
      <c r="A104" s="359"/>
      <c r="B104" s="367" t="s">
        <v>548</v>
      </c>
      <c r="C104" s="367" t="s">
        <v>34</v>
      </c>
      <c r="D104" s="367" t="s">
        <v>34</v>
      </c>
      <c r="E104" s="367" t="s">
        <v>34</v>
      </c>
      <c r="F104" s="367" t="s">
        <v>34</v>
      </c>
      <c r="G104" s="75"/>
      <c r="H104" s="359"/>
      <c r="I104" s="367" t="s">
        <v>549</v>
      </c>
      <c r="J104" s="360">
        <v>100</v>
      </c>
      <c r="K104" s="360">
        <v>100</v>
      </c>
      <c r="L104" s="360">
        <v>100</v>
      </c>
      <c r="M104" s="360">
        <v>100</v>
      </c>
      <c r="N104" s="358"/>
      <c r="O104" s="73"/>
    </row>
    <row r="105" spans="1:15" ht="42" customHeight="1" x14ac:dyDescent="0.15">
      <c r="A105" s="359"/>
      <c r="B105" s="367" t="s">
        <v>549</v>
      </c>
      <c r="C105" s="367" t="s">
        <v>34</v>
      </c>
      <c r="D105" s="367" t="s">
        <v>34</v>
      </c>
      <c r="E105" s="367" t="s">
        <v>34</v>
      </c>
      <c r="F105" s="367" t="s">
        <v>34</v>
      </c>
      <c r="G105" s="75"/>
      <c r="H105" s="359"/>
      <c r="I105" s="367" t="s">
        <v>550</v>
      </c>
      <c r="J105" s="360">
        <v>100</v>
      </c>
      <c r="K105" s="360">
        <v>100</v>
      </c>
      <c r="L105" s="360">
        <v>100</v>
      </c>
      <c r="M105" s="360">
        <v>100</v>
      </c>
      <c r="N105" s="358"/>
      <c r="O105" s="73"/>
    </row>
    <row r="106" spans="1:15" ht="42" customHeight="1" x14ac:dyDescent="0.15">
      <c r="A106" s="359"/>
      <c r="B106" s="367" t="s">
        <v>550</v>
      </c>
      <c r="C106" s="367" t="s">
        <v>551</v>
      </c>
      <c r="D106" s="367" t="s">
        <v>551</v>
      </c>
      <c r="E106" s="367" t="s">
        <v>551</v>
      </c>
      <c r="F106" s="367" t="s">
        <v>551</v>
      </c>
      <c r="G106" s="75"/>
      <c r="H106" s="359"/>
      <c r="I106" s="360" t="s">
        <v>46</v>
      </c>
      <c r="J106" s="360">
        <v>100</v>
      </c>
      <c r="K106" s="360" t="e">
        <f t="shared" ref="K106:M106" si="8">ROUND(K97/$J$7*K98/$J$8*K99/$J$9*K100/$J$10*K101/$J$11*K102/$J$12*K103/$J$13*K104/$J$14*100,0)</f>
        <v>#DIV/0!</v>
      </c>
      <c r="L106" s="360" t="e">
        <f t="shared" si="8"/>
        <v>#DIV/0!</v>
      </c>
      <c r="M106" s="360" t="e">
        <f t="shared" si="8"/>
        <v>#DIV/0!</v>
      </c>
      <c r="N106" s="358"/>
      <c r="O106" s="73"/>
    </row>
    <row r="107" spans="1:15" ht="51" customHeight="1" x14ac:dyDescent="0.15">
      <c r="A107" s="359" t="s">
        <v>47</v>
      </c>
      <c r="B107" s="368" t="s">
        <v>552</v>
      </c>
      <c r="C107" s="367" t="s">
        <v>121</v>
      </c>
      <c r="D107" s="367" t="s">
        <v>121</v>
      </c>
      <c r="E107" s="367" t="s">
        <v>121</v>
      </c>
      <c r="F107" s="367" t="s">
        <v>121</v>
      </c>
      <c r="G107" s="75"/>
      <c r="H107" s="359" t="s">
        <v>49</v>
      </c>
      <c r="I107" s="367" t="s">
        <v>552</v>
      </c>
      <c r="J107" s="360">
        <v>100</v>
      </c>
      <c r="K107" s="360">
        <v>100</v>
      </c>
      <c r="L107" s="360">
        <v>100</v>
      </c>
      <c r="M107" s="360">
        <v>100</v>
      </c>
      <c r="N107" s="358"/>
      <c r="O107" s="73"/>
    </row>
    <row r="108" spans="1:15" ht="57.75" customHeight="1" x14ac:dyDescent="0.15">
      <c r="A108" s="359"/>
      <c r="B108" s="368" t="s">
        <v>553</v>
      </c>
      <c r="C108" s="369" t="s">
        <v>554</v>
      </c>
      <c r="D108" s="369" t="s">
        <v>554</v>
      </c>
      <c r="E108" s="369" t="s">
        <v>554</v>
      </c>
      <c r="F108" s="369" t="s">
        <v>554</v>
      </c>
      <c r="G108" s="75"/>
      <c r="H108" s="359"/>
      <c r="I108" s="367" t="s">
        <v>553</v>
      </c>
      <c r="J108" s="360">
        <v>100</v>
      </c>
      <c r="K108" s="360">
        <v>100</v>
      </c>
      <c r="L108" s="360">
        <v>100</v>
      </c>
      <c r="M108" s="360">
        <v>100</v>
      </c>
      <c r="N108" s="358"/>
      <c r="O108" s="73"/>
    </row>
    <row r="109" spans="1:15" ht="42" customHeight="1" x14ac:dyDescent="0.15">
      <c r="A109" s="359"/>
      <c r="B109" s="368" t="s">
        <v>13</v>
      </c>
      <c r="C109" s="369" t="s">
        <v>555</v>
      </c>
      <c r="D109" s="369" t="s">
        <v>555</v>
      </c>
      <c r="E109" s="369" t="s">
        <v>555</v>
      </c>
      <c r="F109" s="369" t="s">
        <v>555</v>
      </c>
      <c r="G109" s="75"/>
      <c r="H109" s="359"/>
      <c r="I109" s="367" t="s">
        <v>13</v>
      </c>
      <c r="J109" s="360">
        <v>100</v>
      </c>
      <c r="K109" s="360">
        <v>100</v>
      </c>
      <c r="L109" s="360">
        <v>100</v>
      </c>
      <c r="M109" s="360">
        <v>100</v>
      </c>
      <c r="N109" s="358"/>
      <c r="O109" s="73"/>
    </row>
    <row r="110" spans="1:15" ht="42" customHeight="1" x14ac:dyDescent="0.15">
      <c r="A110" s="359"/>
      <c r="B110" s="368" t="s">
        <v>556</v>
      </c>
      <c r="C110" s="367" t="s">
        <v>557</v>
      </c>
      <c r="D110" s="367" t="s">
        <v>557</v>
      </c>
      <c r="E110" s="367" t="s">
        <v>557</v>
      </c>
      <c r="F110" s="367" t="s">
        <v>557</v>
      </c>
      <c r="G110" s="75"/>
      <c r="H110" s="359"/>
      <c r="I110" s="367" t="s">
        <v>556</v>
      </c>
      <c r="J110" s="360">
        <v>100</v>
      </c>
      <c r="K110" s="360">
        <v>100</v>
      </c>
      <c r="L110" s="360">
        <v>100</v>
      </c>
      <c r="M110" s="360">
        <v>100</v>
      </c>
      <c r="N110" s="358"/>
      <c r="O110" s="73"/>
    </row>
    <row r="111" spans="1:15" ht="42" customHeight="1" x14ac:dyDescent="0.15">
      <c r="A111" s="359"/>
      <c r="B111" s="368" t="s">
        <v>10</v>
      </c>
      <c r="C111" s="367" t="s">
        <v>558</v>
      </c>
      <c r="D111" s="367" t="s">
        <v>558</v>
      </c>
      <c r="E111" s="367" t="s">
        <v>558</v>
      </c>
      <c r="F111" s="367" t="s">
        <v>558</v>
      </c>
      <c r="G111" s="75"/>
      <c r="H111" s="359"/>
      <c r="I111" s="367" t="s">
        <v>10</v>
      </c>
      <c r="J111" s="360">
        <v>100</v>
      </c>
      <c r="K111" s="360">
        <v>100</v>
      </c>
      <c r="L111" s="360">
        <v>100</v>
      </c>
      <c r="M111" s="360">
        <v>100</v>
      </c>
      <c r="N111" s="358"/>
      <c r="O111" s="73"/>
    </row>
    <row r="112" spans="1:15" ht="42" customHeight="1" x14ac:dyDescent="0.15">
      <c r="A112" s="359"/>
      <c r="B112" s="368" t="s">
        <v>559</v>
      </c>
      <c r="C112" s="367" t="s">
        <v>560</v>
      </c>
      <c r="D112" s="367" t="s">
        <v>560</v>
      </c>
      <c r="E112" s="367" t="s">
        <v>560</v>
      </c>
      <c r="F112" s="367" t="s">
        <v>560</v>
      </c>
      <c r="G112" s="75"/>
      <c r="H112" s="359"/>
      <c r="I112" s="367" t="s">
        <v>559</v>
      </c>
      <c r="J112" s="360">
        <v>100</v>
      </c>
      <c r="K112" s="360">
        <v>100</v>
      </c>
      <c r="L112" s="360">
        <v>100</v>
      </c>
      <c r="M112" s="360">
        <v>100</v>
      </c>
      <c r="N112" s="358"/>
      <c r="O112" s="73"/>
    </row>
    <row r="113" spans="1:15" ht="42" customHeight="1" x14ac:dyDescent="0.15">
      <c r="A113" s="359"/>
      <c r="B113" s="368" t="s">
        <v>561</v>
      </c>
      <c r="C113" s="367" t="s">
        <v>34</v>
      </c>
      <c r="D113" s="367" t="s">
        <v>34</v>
      </c>
      <c r="E113" s="367" t="s">
        <v>34</v>
      </c>
      <c r="F113" s="367" t="s">
        <v>34</v>
      </c>
      <c r="G113" s="75"/>
      <c r="H113" s="359"/>
      <c r="I113" s="367" t="s">
        <v>561</v>
      </c>
      <c r="J113" s="360">
        <v>100</v>
      </c>
      <c r="K113" s="360">
        <v>100</v>
      </c>
      <c r="L113" s="360">
        <v>100</v>
      </c>
      <c r="M113" s="360">
        <v>100</v>
      </c>
      <c r="N113" s="358"/>
      <c r="O113" s="73"/>
    </row>
    <row r="114" spans="1:15" ht="42" customHeight="1" x14ac:dyDescent="0.15">
      <c r="A114" s="359"/>
      <c r="B114" s="368" t="s">
        <v>7</v>
      </c>
      <c r="C114" s="367">
        <f>[2]估价结果明细表!L96</f>
        <v>0</v>
      </c>
      <c r="D114" s="360">
        <f>C120</f>
        <v>0</v>
      </c>
      <c r="E114" s="360">
        <f>C121</f>
        <v>0</v>
      </c>
      <c r="F114" s="360">
        <f>C122</f>
        <v>0</v>
      </c>
      <c r="G114" s="75"/>
      <c r="H114" s="359"/>
      <c r="I114" s="367" t="s">
        <v>7</v>
      </c>
      <c r="J114" s="360">
        <v>100</v>
      </c>
      <c r="K114" s="360">
        <v>98</v>
      </c>
      <c r="L114" s="360">
        <v>97</v>
      </c>
      <c r="M114" s="360">
        <v>95</v>
      </c>
      <c r="N114" s="358"/>
      <c r="O114" s="73"/>
    </row>
    <row r="115" spans="1:15" ht="42" customHeight="1" x14ac:dyDescent="0.15">
      <c r="A115" s="359"/>
      <c r="B115" s="368" t="s">
        <v>55</v>
      </c>
      <c r="C115" s="367" t="s">
        <v>562</v>
      </c>
      <c r="D115" s="367" t="s">
        <v>562</v>
      </c>
      <c r="E115" s="367" t="s">
        <v>563</v>
      </c>
      <c r="F115" s="367" t="s">
        <v>564</v>
      </c>
      <c r="G115" s="75"/>
      <c r="H115" s="359"/>
      <c r="I115" s="367" t="s">
        <v>55</v>
      </c>
      <c r="J115" s="360">
        <v>100</v>
      </c>
      <c r="K115" s="360">
        <v>100</v>
      </c>
      <c r="L115" s="360">
        <v>102</v>
      </c>
      <c r="M115" s="360">
        <v>101</v>
      </c>
      <c r="N115" s="358"/>
      <c r="O115" s="73"/>
    </row>
    <row r="116" spans="1:15" ht="42" customHeight="1" x14ac:dyDescent="0.15">
      <c r="A116" s="359" t="s">
        <v>4</v>
      </c>
      <c r="B116" s="368" t="s">
        <v>5</v>
      </c>
      <c r="C116" s="367" t="s">
        <v>6</v>
      </c>
      <c r="D116" s="367" t="s">
        <v>6</v>
      </c>
      <c r="E116" s="367" t="s">
        <v>6</v>
      </c>
      <c r="F116" s="367" t="s">
        <v>6</v>
      </c>
      <c r="G116" s="75"/>
      <c r="H116" s="359"/>
      <c r="I116" s="360" t="s">
        <v>56</v>
      </c>
      <c r="J116" s="360">
        <v>100</v>
      </c>
      <c r="K116" s="360" t="e">
        <f t="shared" ref="K116:M116" si="9">ROUND(K107/$J$17*K108/$J$18*K109/$J$19*K110/$J$20*K111/$J$21*K112/$J$22*K113/$J$23*K114/$J$24*K115/$J$25*100,0)</f>
        <v>#DIV/0!</v>
      </c>
      <c r="L116" s="360" t="e">
        <f t="shared" si="9"/>
        <v>#DIV/0!</v>
      </c>
      <c r="M116" s="360" t="e">
        <f t="shared" si="9"/>
        <v>#DIV/0!</v>
      </c>
      <c r="N116" s="358"/>
      <c r="O116" s="73"/>
    </row>
    <row r="117" spans="1:15" ht="42" customHeight="1" x14ac:dyDescent="0.15">
      <c r="A117" s="359"/>
      <c r="B117" s="368" t="s">
        <v>57</v>
      </c>
      <c r="C117" s="367">
        <f>[3]收益法!J111</f>
        <v>0</v>
      </c>
      <c r="D117" s="367" t="s">
        <v>565</v>
      </c>
      <c r="E117" s="367" t="s">
        <v>565</v>
      </c>
      <c r="F117" s="367" t="s">
        <v>565</v>
      </c>
      <c r="G117" s="75"/>
      <c r="H117" s="359" t="s">
        <v>58</v>
      </c>
      <c r="I117" s="367" t="s">
        <v>5</v>
      </c>
      <c r="J117" s="360">
        <v>100</v>
      </c>
      <c r="K117" s="360">
        <v>100</v>
      </c>
      <c r="L117" s="360">
        <v>100</v>
      </c>
      <c r="M117" s="360">
        <v>100</v>
      </c>
      <c r="N117" s="358"/>
      <c r="O117" s="73"/>
    </row>
    <row r="118" spans="1:15" ht="42" customHeight="1" x14ac:dyDescent="0.15">
      <c r="A118" s="75"/>
      <c r="B118" s="75"/>
      <c r="C118" s="75"/>
      <c r="D118" s="75"/>
      <c r="E118" s="75"/>
      <c r="F118" s="75"/>
      <c r="G118" s="75"/>
      <c r="H118" s="359"/>
      <c r="I118" s="367" t="s">
        <v>57</v>
      </c>
      <c r="J118" s="360">
        <v>100</v>
      </c>
      <c r="K118" s="360">
        <v>100</v>
      </c>
      <c r="L118" s="360">
        <v>100</v>
      </c>
      <c r="M118" s="360">
        <v>100</v>
      </c>
      <c r="N118" s="358"/>
      <c r="O118" s="73"/>
    </row>
    <row r="119" spans="1:15" ht="42" customHeight="1" x14ac:dyDescent="0.15">
      <c r="A119" s="75"/>
      <c r="B119" s="75"/>
      <c r="C119" s="75"/>
      <c r="D119" s="75"/>
      <c r="E119" s="75"/>
      <c r="F119" s="75"/>
      <c r="G119" s="75"/>
      <c r="H119" s="359"/>
      <c r="I119" s="360" t="s">
        <v>62</v>
      </c>
      <c r="J119" s="360">
        <v>100</v>
      </c>
      <c r="K119" s="360">
        <v>100</v>
      </c>
      <c r="L119" s="360">
        <v>100</v>
      </c>
      <c r="M119" s="360">
        <v>100</v>
      </c>
      <c r="N119" s="358"/>
      <c r="O119" s="73"/>
    </row>
    <row r="120" spans="1:15" ht="42" customHeight="1" x14ac:dyDescent="0.15">
      <c r="A120" s="75"/>
      <c r="B120" s="75"/>
      <c r="C120" s="75"/>
      <c r="D120" s="75"/>
      <c r="E120" s="75"/>
      <c r="F120" s="75"/>
      <c r="G120" s="75"/>
      <c r="H120" s="359" t="s">
        <v>64</v>
      </c>
      <c r="I120" s="359"/>
      <c r="J120" s="360" t="s">
        <v>29</v>
      </c>
      <c r="K120" s="360" t="e">
        <f t="shared" ref="K120:M120" si="10">ROUND(K94/K95/K96/K106/K116/K119*100^5,1)</f>
        <v>#DIV/0!</v>
      </c>
      <c r="L120" s="360" t="e">
        <f t="shared" si="10"/>
        <v>#DIV/0!</v>
      </c>
      <c r="M120" s="360" t="e">
        <f t="shared" si="10"/>
        <v>#DIV/0!</v>
      </c>
      <c r="N120" s="358"/>
      <c r="O120" s="73"/>
    </row>
    <row r="121" spans="1:15" ht="42" customHeight="1" x14ac:dyDescent="0.15">
      <c r="A121" s="75"/>
      <c r="B121" s="75"/>
      <c r="C121" s="75"/>
      <c r="D121" s="75"/>
      <c r="E121" s="75"/>
      <c r="F121" s="75"/>
      <c r="G121" s="75"/>
      <c r="H121" s="359" t="s">
        <v>11</v>
      </c>
      <c r="I121" s="359"/>
      <c r="J121" s="359" t="e">
        <f>ROUND((K120+L120+M120)/3,0)</f>
        <v>#DIV/0!</v>
      </c>
      <c r="K121" s="359"/>
      <c r="L121" s="359"/>
      <c r="M121" s="359"/>
      <c r="N121" s="358"/>
      <c r="O121" s="73"/>
    </row>
    <row r="122" spans="1:15" ht="42" customHeight="1" x14ac:dyDescent="0.15">
      <c r="A122" s="75"/>
      <c r="B122" s="75"/>
      <c r="C122" s="75"/>
      <c r="D122" s="75"/>
      <c r="E122" s="75"/>
      <c r="F122" s="75"/>
      <c r="G122" s="75"/>
      <c r="H122" s="359" t="s">
        <v>3</v>
      </c>
      <c r="I122" s="359"/>
      <c r="J122" s="359">
        <f>C114</f>
        <v>0</v>
      </c>
      <c r="K122" s="359"/>
      <c r="L122" s="359"/>
      <c r="M122" s="359"/>
      <c r="N122" s="358"/>
      <c r="O122" s="73"/>
    </row>
    <row r="123" spans="1:15" ht="42" customHeight="1" x14ac:dyDescent="0.15">
      <c r="A123" s="75"/>
      <c r="B123" s="75"/>
      <c r="C123" s="75"/>
      <c r="D123" s="75"/>
      <c r="E123" s="75"/>
      <c r="F123" s="75"/>
      <c r="G123" s="75"/>
      <c r="H123" s="359" t="s">
        <v>65</v>
      </c>
      <c r="I123" s="359"/>
      <c r="J123" s="359">
        <v>0</v>
      </c>
      <c r="K123" s="359"/>
      <c r="L123" s="359"/>
      <c r="M123" s="359"/>
      <c r="N123" s="358"/>
      <c r="O123" s="73"/>
    </row>
    <row r="124" spans="1:15" ht="42" customHeight="1" x14ac:dyDescent="0.15">
      <c r="A124" s="75"/>
      <c r="B124" s="75"/>
      <c r="C124" s="75"/>
      <c r="D124" s="75"/>
      <c r="E124" s="75"/>
      <c r="F124" s="75"/>
      <c r="G124" s="75"/>
      <c r="H124" s="359" t="s">
        <v>66</v>
      </c>
      <c r="I124" s="359"/>
      <c r="J124" s="359" t="e">
        <f>J123+J121</f>
        <v>#DIV/0!</v>
      </c>
      <c r="K124" s="359"/>
      <c r="L124" s="359"/>
      <c r="M124" s="359"/>
      <c r="N124" s="358"/>
      <c r="O124" s="73"/>
    </row>
    <row r="125" spans="1:15" ht="42" customHeight="1" x14ac:dyDescent="0.15">
      <c r="A125" s="75"/>
      <c r="B125" s="75"/>
      <c r="C125" s="75"/>
      <c r="D125" s="75"/>
      <c r="E125" s="75"/>
      <c r="F125" s="75"/>
      <c r="G125" s="75"/>
      <c r="H125" s="359" t="s">
        <v>567</v>
      </c>
      <c r="I125" s="359"/>
      <c r="J125" s="359" t="e">
        <f>ROUND(J124*J122/10000,2)</f>
        <v>#DIV/0!</v>
      </c>
      <c r="K125" s="359"/>
      <c r="L125" s="359"/>
      <c r="M125" s="359"/>
      <c r="N125" s="358"/>
      <c r="O125" s="73"/>
    </row>
    <row r="126" spans="1:15" ht="42" customHeight="1" x14ac:dyDescent="0.15">
      <c r="A126" s="75"/>
      <c r="B126" s="75"/>
      <c r="C126" s="75"/>
      <c r="D126" s="75"/>
      <c r="E126" s="75"/>
      <c r="F126" s="75"/>
      <c r="G126" s="75"/>
      <c r="H126" s="355"/>
      <c r="I126" s="356"/>
      <c r="J126" s="356"/>
      <c r="K126" s="357"/>
      <c r="L126" s="357"/>
      <c r="M126" s="357"/>
      <c r="N126" s="358"/>
      <c r="O126" s="73"/>
    </row>
    <row r="127" spans="1:15" ht="42" customHeight="1" x14ac:dyDescent="0.15">
      <c r="A127" s="75"/>
      <c r="B127" s="75"/>
      <c r="C127" s="75"/>
      <c r="D127" s="75"/>
      <c r="E127" s="75"/>
      <c r="F127" s="75"/>
      <c r="G127" s="75"/>
      <c r="H127" s="355"/>
      <c r="I127" s="356"/>
      <c r="J127" s="356"/>
      <c r="K127" s="357"/>
      <c r="L127" s="357"/>
      <c r="M127" s="357"/>
      <c r="N127" s="358"/>
      <c r="O127" s="73"/>
    </row>
    <row r="128" spans="1:15" ht="42" customHeight="1" x14ac:dyDescent="0.15">
      <c r="A128" s="75"/>
      <c r="B128" s="75"/>
      <c r="C128" s="75"/>
      <c r="D128" s="75"/>
      <c r="E128" s="75"/>
      <c r="F128" s="75"/>
      <c r="G128" s="75"/>
      <c r="H128" s="355"/>
      <c r="I128" s="356"/>
      <c r="J128" s="356"/>
      <c r="K128" s="357"/>
      <c r="L128" s="357"/>
      <c r="M128" s="357"/>
      <c r="N128" s="358"/>
      <c r="O128" s="73"/>
    </row>
    <row r="129" spans="1:15" ht="42" customHeight="1" x14ac:dyDescent="0.15">
      <c r="A129" s="75"/>
      <c r="B129" s="75"/>
      <c r="C129" s="75"/>
      <c r="D129" s="75"/>
      <c r="E129" s="75"/>
      <c r="F129" s="75"/>
      <c r="G129" s="75"/>
      <c r="H129" s="355"/>
      <c r="I129" s="356"/>
      <c r="J129" s="356"/>
      <c r="K129" s="357"/>
      <c r="L129" s="357"/>
      <c r="M129" s="357"/>
      <c r="N129" s="358"/>
      <c r="O129" s="73"/>
    </row>
    <row r="130" spans="1:15" ht="42" customHeight="1" x14ac:dyDescent="0.15">
      <c r="A130" s="75"/>
      <c r="B130" s="75"/>
      <c r="C130" s="75"/>
      <c r="D130" s="75"/>
      <c r="E130" s="75"/>
      <c r="F130" s="75"/>
      <c r="G130" s="75"/>
      <c r="H130" s="355"/>
      <c r="I130" s="356"/>
      <c r="J130" s="356"/>
      <c r="K130" s="357"/>
      <c r="L130" s="357"/>
      <c r="M130" s="357"/>
      <c r="N130" s="358"/>
      <c r="O130" s="73"/>
    </row>
    <row r="131" spans="1:15" ht="42" customHeight="1" x14ac:dyDescent="0.15">
      <c r="A131" s="75"/>
      <c r="B131" s="75"/>
      <c r="C131" s="75"/>
      <c r="D131" s="75"/>
      <c r="E131" s="75"/>
      <c r="F131" s="75"/>
      <c r="G131" s="75"/>
      <c r="H131" s="355"/>
      <c r="I131" s="356"/>
      <c r="J131" s="356"/>
      <c r="K131" s="357"/>
      <c r="L131" s="357"/>
      <c r="M131" s="357"/>
      <c r="N131" s="358"/>
      <c r="O131" s="73"/>
    </row>
    <row r="132" spans="1:15" ht="22.5" customHeight="1" x14ac:dyDescent="0.15">
      <c r="A132" s="75"/>
      <c r="B132" s="75"/>
      <c r="C132" s="75"/>
      <c r="D132" s="75"/>
      <c r="E132" s="75"/>
      <c r="F132" s="75"/>
      <c r="G132" s="75"/>
      <c r="H132" s="355"/>
      <c r="I132" s="356"/>
      <c r="J132" s="356"/>
      <c r="K132" s="357"/>
      <c r="L132" s="357"/>
      <c r="M132" s="357"/>
      <c r="N132" s="358"/>
      <c r="O132" s="73"/>
    </row>
    <row r="133" spans="1:15" ht="22.5" customHeight="1" x14ac:dyDescent="0.15">
      <c r="A133" s="75"/>
      <c r="B133" s="75"/>
      <c r="C133" s="75"/>
      <c r="D133" s="75"/>
      <c r="E133" s="75"/>
      <c r="F133" s="75"/>
      <c r="G133" s="75"/>
      <c r="H133" s="355"/>
      <c r="I133" s="356"/>
      <c r="J133" s="356"/>
      <c r="K133" s="357"/>
      <c r="L133" s="357"/>
      <c r="M133" s="357"/>
      <c r="N133" s="358"/>
      <c r="O133" s="73"/>
    </row>
    <row r="134" spans="1:15" ht="22.5" customHeight="1" x14ac:dyDescent="0.15">
      <c r="A134" s="75"/>
      <c r="B134" s="75"/>
      <c r="C134" s="75"/>
      <c r="D134" s="75"/>
      <c r="E134" s="75"/>
      <c r="F134" s="75"/>
      <c r="G134" s="75"/>
      <c r="H134" s="355"/>
      <c r="I134" s="356"/>
      <c r="J134" s="356"/>
      <c r="K134" s="357"/>
      <c r="L134" s="357"/>
      <c r="M134" s="357"/>
      <c r="N134" s="358"/>
      <c r="O134" s="73"/>
    </row>
    <row r="135" spans="1:15" ht="22.5" customHeight="1" x14ac:dyDescent="0.15">
      <c r="A135" s="75"/>
      <c r="B135" s="75"/>
      <c r="C135" s="75"/>
      <c r="D135" s="75"/>
      <c r="E135" s="75"/>
      <c r="F135" s="75"/>
      <c r="G135" s="75"/>
      <c r="H135" s="355"/>
      <c r="I135" s="356"/>
      <c r="J135" s="356"/>
      <c r="K135" s="357"/>
      <c r="L135" s="357"/>
      <c r="M135" s="357"/>
      <c r="N135" s="358"/>
      <c r="O135" s="73"/>
    </row>
    <row r="136" spans="1:15" ht="21.75" customHeight="1" x14ac:dyDescent="0.15">
      <c r="A136" s="75"/>
      <c r="B136" s="75"/>
      <c r="C136" s="75"/>
      <c r="D136" s="75"/>
      <c r="E136" s="75"/>
      <c r="F136" s="75"/>
      <c r="G136" s="75"/>
      <c r="H136" s="355"/>
      <c r="I136" s="356"/>
      <c r="J136" s="356"/>
      <c r="K136" s="357"/>
      <c r="L136" s="357"/>
      <c r="M136" s="357"/>
      <c r="N136" s="358"/>
      <c r="O136" s="73"/>
    </row>
    <row r="137" spans="1:15" ht="20.25" customHeight="1" x14ac:dyDescent="0.15">
      <c r="A137" s="75"/>
      <c r="B137" s="75"/>
      <c r="C137" s="75"/>
      <c r="D137" s="75"/>
      <c r="E137" s="75"/>
      <c r="F137" s="75"/>
      <c r="G137" s="75"/>
      <c r="H137" s="355"/>
      <c r="I137" s="356"/>
      <c r="J137" s="356"/>
      <c r="K137" s="357"/>
      <c r="L137" s="357"/>
      <c r="M137" s="357"/>
      <c r="N137" s="358"/>
      <c r="O137" s="73"/>
    </row>
    <row r="138" spans="1:15" ht="17.25" customHeight="1" x14ac:dyDescent="0.15">
      <c r="A138" s="75"/>
      <c r="B138" s="75"/>
      <c r="C138" s="75"/>
      <c r="D138" s="75"/>
      <c r="E138" s="75"/>
      <c r="F138" s="75"/>
      <c r="G138" s="75"/>
      <c r="H138" s="355"/>
      <c r="I138" s="356"/>
      <c r="J138" s="356"/>
      <c r="K138" s="357"/>
      <c r="L138" s="357"/>
      <c r="M138" s="357"/>
      <c r="N138" s="358"/>
      <c r="O138" s="73"/>
    </row>
    <row r="140" spans="1:15" ht="19.5" x14ac:dyDescent="0.15">
      <c r="A140" s="266" t="s">
        <v>271</v>
      </c>
      <c r="B140" s="266"/>
      <c r="C140" s="266"/>
      <c r="D140" s="266"/>
      <c r="E140" s="266"/>
      <c r="F140" s="266"/>
      <c r="G140" s="266"/>
      <c r="H140" s="266"/>
      <c r="I140" s="220"/>
      <c r="J140" s="220"/>
      <c r="K140" s="220"/>
      <c r="L140" s="220"/>
      <c r="M140" s="220"/>
      <c r="N140" s="220"/>
    </row>
    <row r="141" spans="1:15" ht="20.25" customHeight="1" x14ac:dyDescent="0.15">
      <c r="A141" s="267" t="s">
        <v>67</v>
      </c>
      <c r="B141" s="268"/>
      <c r="C141" s="268"/>
      <c r="D141" s="268"/>
      <c r="E141" s="268"/>
      <c r="F141" s="268"/>
      <c r="G141" s="269"/>
      <c r="H141" s="60" t="s">
        <v>315</v>
      </c>
    </row>
    <row r="142" spans="1:15" ht="18.75" customHeight="1" x14ac:dyDescent="0.15">
      <c r="A142" s="252" t="s">
        <v>68</v>
      </c>
      <c r="B142" s="252"/>
      <c r="C142" s="252"/>
      <c r="D142" s="252"/>
      <c r="E142" s="252"/>
      <c r="F142" s="252"/>
      <c r="G142" s="252"/>
      <c r="H142" s="61">
        <v>1400</v>
      </c>
    </row>
    <row r="143" spans="1:15" ht="18.75" customHeight="1" x14ac:dyDescent="0.15">
      <c r="A143" s="96" t="s">
        <v>1</v>
      </c>
      <c r="B143" s="96" t="s">
        <v>3</v>
      </c>
      <c r="C143" s="267" t="s">
        <v>70</v>
      </c>
      <c r="D143" s="269"/>
      <c r="E143" s="270" t="s">
        <v>313</v>
      </c>
      <c r="F143" s="271"/>
      <c r="G143" s="97" t="s">
        <v>314</v>
      </c>
      <c r="H143" s="97" t="s">
        <v>316</v>
      </c>
    </row>
    <row r="144" spans="1:15" ht="18.75" customHeight="1" x14ac:dyDescent="0.15">
      <c r="A144" s="98" t="s">
        <v>74</v>
      </c>
      <c r="B144" s="98" t="s">
        <v>75</v>
      </c>
      <c r="C144" s="261" t="s">
        <v>76</v>
      </c>
      <c r="D144" s="262"/>
      <c r="E144" s="261" t="s">
        <v>77</v>
      </c>
      <c r="F144" s="262"/>
      <c r="G144" s="98" t="s">
        <v>78</v>
      </c>
      <c r="H144" s="97" t="s">
        <v>166</v>
      </c>
    </row>
    <row r="145" spans="1:14" ht="18.75" customHeight="1" x14ac:dyDescent="0.15">
      <c r="A145" s="96" t="s">
        <v>80</v>
      </c>
      <c r="B145" s="96" t="s">
        <v>69</v>
      </c>
      <c r="C145" s="252" t="s">
        <v>69</v>
      </c>
      <c r="D145" s="252"/>
      <c r="E145" s="263" t="s">
        <v>69</v>
      </c>
      <c r="F145" s="263"/>
      <c r="G145" s="97" t="s">
        <v>167</v>
      </c>
      <c r="H145" s="97" t="s">
        <v>182</v>
      </c>
    </row>
    <row r="146" spans="1:14" ht="18.75" customHeight="1" x14ac:dyDescent="0.15">
      <c r="A146" s="96" t="s">
        <v>83</v>
      </c>
      <c r="B146" s="99">
        <v>1</v>
      </c>
      <c r="C146" s="264">
        <v>30</v>
      </c>
      <c r="D146" s="264"/>
      <c r="E146" s="265">
        <v>0.04</v>
      </c>
      <c r="F146" s="265"/>
      <c r="G146" s="97">
        <f>(B146*C146*(1-E146)+H146)*12</f>
        <v>346.07999999999993</v>
      </c>
      <c r="H146" s="97">
        <f>ROUND(B146*C146*(1-E146)*0.015/12,2)</f>
        <v>0.04</v>
      </c>
    </row>
    <row r="147" spans="1:14" ht="18.75" customHeight="1" x14ac:dyDescent="0.15">
      <c r="A147" s="252" t="s">
        <v>84</v>
      </c>
      <c r="B147" s="252"/>
      <c r="C147" s="252"/>
      <c r="D147" s="252"/>
      <c r="E147" s="252"/>
      <c r="F147" s="252"/>
      <c r="G147" s="252"/>
      <c r="H147" s="85" t="s">
        <v>168</v>
      </c>
    </row>
    <row r="148" spans="1:14" ht="34.5" customHeight="1" x14ac:dyDescent="0.15">
      <c r="A148" s="96" t="s">
        <v>1</v>
      </c>
      <c r="B148" s="96" t="s">
        <v>329</v>
      </c>
      <c r="C148" s="96" t="s">
        <v>325</v>
      </c>
      <c r="D148" s="96" t="str">
        <f>"维修、保养费("&amp;H151&amp;")"</f>
        <v>维修、保养费(1%)</v>
      </c>
      <c r="E148" s="96" t="str">
        <f>"保险费("&amp;H153&amp;")"</f>
        <v>保险费(0.2%)</v>
      </c>
      <c r="F148" s="252" t="s">
        <v>330</v>
      </c>
      <c r="G148" s="252"/>
      <c r="H148" s="100" t="s">
        <v>326</v>
      </c>
    </row>
    <row r="149" spans="1:14" ht="18.75" customHeight="1" x14ac:dyDescent="0.15">
      <c r="A149" s="98" t="s">
        <v>74</v>
      </c>
      <c r="B149" s="98" t="s">
        <v>91</v>
      </c>
      <c r="C149" s="98" t="s">
        <v>92</v>
      </c>
      <c r="D149" s="98" t="s">
        <v>93</v>
      </c>
      <c r="E149" s="98" t="s">
        <v>94</v>
      </c>
      <c r="F149" s="260" t="s">
        <v>95</v>
      </c>
      <c r="G149" s="260"/>
      <c r="H149" s="101" t="s">
        <v>332</v>
      </c>
      <c r="I149" s="229"/>
      <c r="J149" s="229"/>
      <c r="K149" s="229"/>
      <c r="L149" s="229"/>
      <c r="M149" s="229"/>
      <c r="N149" s="229"/>
    </row>
    <row r="150" spans="1:14" ht="25.5" customHeight="1" x14ac:dyDescent="0.15">
      <c r="A150" s="96" t="s">
        <v>80</v>
      </c>
      <c r="B150" s="96" t="str">
        <f>"F1=S/(1+0.05)*"&amp;TEXT(ROUND(H155,4),"0.00%")</f>
        <v>F1=S/(1+0.05)*17.50%</v>
      </c>
      <c r="C150" s="96" t="str">
        <f>"F2=S*"&amp;H149</f>
        <v>F2=S*1.5%</v>
      </c>
      <c r="D150" s="96" t="str">
        <f>"F3=建安*"&amp;H151</f>
        <v>F3=建安*1%</v>
      </c>
      <c r="E150" s="96" t="str">
        <f>"F4=建安*"&amp;H153</f>
        <v>F4=建安*0.2%</v>
      </c>
      <c r="F150" s="252" t="s">
        <v>100</v>
      </c>
      <c r="G150" s="252"/>
      <c r="H150" s="85" t="s">
        <v>327</v>
      </c>
      <c r="I150" s="95"/>
      <c r="J150" s="95"/>
      <c r="K150" s="95"/>
      <c r="L150" s="95"/>
      <c r="M150" s="95"/>
      <c r="N150" s="95"/>
    </row>
    <row r="151" spans="1:14" ht="18.75" customHeight="1" x14ac:dyDescent="0.15">
      <c r="A151" s="96" t="s">
        <v>83</v>
      </c>
      <c r="B151" s="96">
        <f>G146/(1+0.05)*H155</f>
        <v>57.679999999999978</v>
      </c>
      <c r="C151" s="96">
        <f>G146*H149</f>
        <v>5.1911999999999985</v>
      </c>
      <c r="D151" s="96">
        <f>H142*H151</f>
        <v>14</v>
      </c>
      <c r="E151" s="96">
        <f>H142*H153</f>
        <v>2.8000000000000003</v>
      </c>
      <c r="F151" s="252">
        <f>SUM(B151:E151)</f>
        <v>79.67119999999997</v>
      </c>
      <c r="G151" s="252"/>
      <c r="H151" s="102" t="s">
        <v>180</v>
      </c>
      <c r="I151" s="230"/>
      <c r="J151" s="230"/>
      <c r="K151" s="230"/>
      <c r="L151" s="230"/>
      <c r="M151" s="230"/>
      <c r="N151" s="230"/>
    </row>
    <row r="152" spans="1:14" ht="18.75" customHeight="1" x14ac:dyDescent="0.15">
      <c r="A152" s="252" t="s">
        <v>103</v>
      </c>
      <c r="B152" s="252"/>
      <c r="C152" s="252"/>
      <c r="D152" s="252"/>
      <c r="E152" s="252"/>
      <c r="F152" s="252"/>
      <c r="G152" s="252"/>
      <c r="H152" s="85" t="s">
        <v>328</v>
      </c>
      <c r="I152" s="95"/>
      <c r="J152" s="95"/>
      <c r="K152" s="95"/>
      <c r="L152" s="95"/>
      <c r="M152" s="95"/>
      <c r="N152" s="95"/>
    </row>
    <row r="153" spans="1:14" ht="18.75" customHeight="1" x14ac:dyDescent="0.15">
      <c r="A153" s="96" t="s">
        <v>1</v>
      </c>
      <c r="B153" s="252" t="s">
        <v>331</v>
      </c>
      <c r="C153" s="252"/>
      <c r="D153" s="252" t="s">
        <v>324</v>
      </c>
      <c r="E153" s="252"/>
      <c r="F153" s="252" t="s">
        <v>323</v>
      </c>
      <c r="G153" s="252"/>
      <c r="H153" s="102" t="s">
        <v>181</v>
      </c>
      <c r="I153" s="230"/>
      <c r="J153" s="230"/>
      <c r="K153" s="230"/>
      <c r="L153" s="230"/>
      <c r="M153" s="230"/>
      <c r="N153" s="230"/>
    </row>
    <row r="154" spans="1:14" ht="18.75" customHeight="1" x14ac:dyDescent="0.15">
      <c r="A154" s="98" t="s">
        <v>74</v>
      </c>
      <c r="B154" s="260" t="s">
        <v>78</v>
      </c>
      <c r="C154" s="260"/>
      <c r="D154" s="260" t="s">
        <v>95</v>
      </c>
      <c r="E154" s="260"/>
      <c r="F154" s="260" t="s">
        <v>106</v>
      </c>
      <c r="G154" s="260"/>
      <c r="H154" s="85" t="s">
        <v>86</v>
      </c>
      <c r="I154" s="95"/>
      <c r="J154" s="95"/>
      <c r="K154" s="95"/>
      <c r="L154" s="95"/>
      <c r="M154" s="95"/>
      <c r="N154" s="95"/>
    </row>
    <row r="155" spans="1:14" ht="18.75" customHeight="1" x14ac:dyDescent="0.15">
      <c r="A155" s="96" t="s">
        <v>83</v>
      </c>
      <c r="B155" s="252">
        <f>G146</f>
        <v>346.07999999999993</v>
      </c>
      <c r="C155" s="252"/>
      <c r="D155" s="252">
        <f>F151</f>
        <v>79.67119999999997</v>
      </c>
      <c r="E155" s="252"/>
      <c r="F155" s="252">
        <f>B155-D155</f>
        <v>266.40879999999993</v>
      </c>
      <c r="G155" s="252"/>
      <c r="H155" s="103">
        <v>0.17499999999999999</v>
      </c>
      <c r="I155" s="231"/>
      <c r="J155" s="231"/>
      <c r="K155" s="231"/>
      <c r="L155" s="231"/>
      <c r="M155" s="231"/>
      <c r="N155" s="231"/>
    </row>
    <row r="156" spans="1:14" ht="18.75" customHeight="1" x14ac:dyDescent="0.15">
      <c r="A156" s="96" t="s">
        <v>80</v>
      </c>
      <c r="B156" s="252" t="s">
        <v>169</v>
      </c>
      <c r="C156" s="252"/>
      <c r="D156" s="252"/>
      <c r="E156" s="252"/>
      <c r="F156" s="252"/>
      <c r="G156" s="252"/>
      <c r="H156" s="95"/>
      <c r="I156" s="95"/>
      <c r="J156" s="95"/>
      <c r="K156" s="95"/>
      <c r="L156" s="95"/>
      <c r="M156" s="95"/>
      <c r="N156" s="95"/>
    </row>
    <row r="157" spans="1:14" ht="18.75" customHeight="1" x14ac:dyDescent="0.15">
      <c r="A157" s="252" t="s">
        <v>112</v>
      </c>
      <c r="B157" s="259"/>
      <c r="C157" s="259"/>
      <c r="D157" s="259"/>
      <c r="E157" s="259"/>
      <c r="F157" s="259"/>
      <c r="G157" s="259"/>
      <c r="H157" s="95"/>
      <c r="I157" s="95"/>
      <c r="J157" s="95"/>
      <c r="K157" s="95"/>
      <c r="L157" s="95"/>
      <c r="M157" s="95"/>
      <c r="N157" s="95"/>
    </row>
    <row r="158" spans="1:14" ht="33.75" customHeight="1" x14ac:dyDescent="0.15">
      <c r="A158" s="96" t="s">
        <v>1</v>
      </c>
      <c r="B158" s="97" t="s">
        <v>317</v>
      </c>
      <c r="C158" s="97" t="s">
        <v>318</v>
      </c>
      <c r="D158" s="97" t="s">
        <v>319</v>
      </c>
      <c r="E158" s="97" t="s">
        <v>320</v>
      </c>
      <c r="F158" s="97" t="s">
        <v>321</v>
      </c>
      <c r="G158" s="97" t="s">
        <v>322</v>
      </c>
      <c r="H158" s="95"/>
      <c r="I158" s="95"/>
      <c r="J158" s="95"/>
      <c r="K158" s="95"/>
      <c r="L158" s="95"/>
      <c r="M158" s="95"/>
      <c r="N158" s="95"/>
    </row>
    <row r="159" spans="1:14" ht="18.75" customHeight="1" x14ac:dyDescent="0.15">
      <c r="A159" s="98" t="s">
        <v>74</v>
      </c>
      <c r="B159" s="98" t="s">
        <v>122</v>
      </c>
      <c r="C159" s="98" t="s">
        <v>123</v>
      </c>
      <c r="D159" s="98" t="s">
        <v>124</v>
      </c>
      <c r="E159" s="98" t="s">
        <v>125</v>
      </c>
      <c r="F159" s="98" t="s">
        <v>126</v>
      </c>
      <c r="G159" s="98" t="s">
        <v>127</v>
      </c>
      <c r="H159" s="95"/>
      <c r="I159" s="95"/>
      <c r="J159" s="95"/>
      <c r="K159" s="95"/>
      <c r="L159" s="95"/>
      <c r="M159" s="95"/>
      <c r="N159" s="95"/>
    </row>
    <row r="160" spans="1:14" ht="51.75" customHeight="1" x14ac:dyDescent="0.15">
      <c r="A160" s="96" t="s">
        <v>80</v>
      </c>
      <c r="B160" s="97" t="s">
        <v>69</v>
      </c>
      <c r="C160" s="97" t="s">
        <v>69</v>
      </c>
      <c r="D160" s="104" t="s">
        <v>128</v>
      </c>
      <c r="E160" s="97" t="s">
        <v>129</v>
      </c>
      <c r="F160" s="97" t="s">
        <v>27</v>
      </c>
      <c r="G160" s="97" t="s">
        <v>130</v>
      </c>
      <c r="H160" s="95"/>
      <c r="I160" s="95"/>
      <c r="J160" s="95"/>
      <c r="K160" s="95"/>
      <c r="L160" s="95"/>
      <c r="M160" s="95"/>
      <c r="N160" s="95"/>
    </row>
    <row r="161" spans="1:14" ht="18.75" customHeight="1" x14ac:dyDescent="0.15">
      <c r="A161" s="96" t="s">
        <v>83</v>
      </c>
      <c r="B161" s="105">
        <v>0.03</v>
      </c>
      <c r="C161" s="106">
        <v>5</v>
      </c>
      <c r="D161" s="107">
        <v>5.5E-2</v>
      </c>
      <c r="E161" s="97">
        <f>估价对象土地使用权剩余使用年期</f>
        <v>26.42</v>
      </c>
      <c r="F161" s="108">
        <f>ROUND(1/(D161-B161)*(1-((1+B161)/(1+D161))^C161)+(1+B161)^(C161-1)/D161*(1-1/(1+D161)^(E161-C161))/(1+D161)^C161,4)</f>
        <v>15.2041</v>
      </c>
      <c r="G161" s="109">
        <f>ROUND(F155*F161,-2)</f>
        <v>4100</v>
      </c>
      <c r="H161" s="95"/>
      <c r="I161" s="95"/>
      <c r="J161" s="95"/>
      <c r="K161" s="95"/>
      <c r="L161" s="95"/>
      <c r="M161" s="95"/>
      <c r="N161" s="95"/>
    </row>
    <row r="163" spans="1:14" ht="40.5" customHeight="1" x14ac:dyDescent="0.15">
      <c r="A163" s="254" t="s">
        <v>274</v>
      </c>
      <c r="B163" s="254"/>
      <c r="C163" s="254"/>
      <c r="D163" s="254"/>
      <c r="E163" s="254"/>
      <c r="G163" s="62">
        <f>219.17 /(5.5%-3%)*(1-((1+3%)/(1+5.5%))^5) +219.17 *(1+3%)^(5-1)/5.5%*(1-1/(1+5.5%)^(33 -5)) /(1+5.5%)^5</f>
        <v>3655.9449156874316</v>
      </c>
    </row>
    <row r="164" spans="1:14" ht="32.25" customHeight="1" x14ac:dyDescent="0.15">
      <c r="A164" s="255" t="s">
        <v>170</v>
      </c>
      <c r="B164" s="255" t="s">
        <v>288</v>
      </c>
      <c r="C164" s="253" t="s">
        <v>12</v>
      </c>
      <c r="D164" s="253"/>
      <c r="E164" s="255">
        <f>F3</f>
        <v>242.45</v>
      </c>
    </row>
    <row r="165" spans="1:14" ht="32.25" customHeight="1" x14ac:dyDescent="0.15">
      <c r="A165" s="256"/>
      <c r="B165" s="256"/>
      <c r="C165" s="257" t="s">
        <v>289</v>
      </c>
      <c r="D165" s="258"/>
      <c r="E165" s="256"/>
    </row>
    <row r="166" spans="1:14" ht="60" customHeight="1" x14ac:dyDescent="0.15">
      <c r="A166" s="85" t="s">
        <v>291</v>
      </c>
      <c r="B166" s="85" t="s">
        <v>171</v>
      </c>
      <c r="C166" s="251" t="s">
        <v>172</v>
      </c>
      <c r="D166" s="251"/>
      <c r="E166" s="85">
        <f>ROUND(E164*5%/(1+5%),2)</f>
        <v>11.55</v>
      </c>
    </row>
    <row r="167" spans="1:14" ht="60" customHeight="1" x14ac:dyDescent="0.15">
      <c r="A167" s="85" t="s">
        <v>296</v>
      </c>
      <c r="B167" s="85" t="str">
        <f>"增值税×"&amp;IFERROR(IF(SEARCH("县",坐落),"5%"),"7%")</f>
        <v>增值税×7%</v>
      </c>
      <c r="C167" s="251" t="s">
        <v>172</v>
      </c>
      <c r="D167" s="251"/>
      <c r="E167" s="85">
        <f>ROUND(E166*IFERROR(IF(SEARCH("县",坐落),"5%"),"7%"),2)</f>
        <v>0.81</v>
      </c>
    </row>
    <row r="168" spans="1:14" ht="60" customHeight="1" x14ac:dyDescent="0.15">
      <c r="A168" s="85" t="s">
        <v>297</v>
      </c>
      <c r="B168" s="85" t="s">
        <v>173</v>
      </c>
      <c r="C168" s="251" t="s">
        <v>295</v>
      </c>
      <c r="D168" s="251"/>
      <c r="E168" s="85">
        <f>ROUND(E166*3%,2)</f>
        <v>0.35</v>
      </c>
    </row>
    <row r="169" spans="1:14" ht="60" customHeight="1" x14ac:dyDescent="0.15">
      <c r="A169" s="85" t="s">
        <v>298</v>
      </c>
      <c r="B169" s="85" t="s">
        <v>174</v>
      </c>
      <c r="C169" s="251" t="s">
        <v>275</v>
      </c>
      <c r="D169" s="251"/>
      <c r="E169" s="85">
        <f>ROUND(E166*2%,2)</f>
        <v>0.23</v>
      </c>
    </row>
    <row r="170" spans="1:14" ht="128.25" x14ac:dyDescent="0.15">
      <c r="A170" s="85" t="s">
        <v>292</v>
      </c>
      <c r="B170" s="85" t="s">
        <v>290</v>
      </c>
      <c r="C170" s="251" t="s">
        <v>179</v>
      </c>
      <c r="D170" s="251"/>
      <c r="E170" s="85">
        <f>ROUND(E164*0%,2)</f>
        <v>0</v>
      </c>
    </row>
    <row r="171" spans="1:14" ht="36" customHeight="1" x14ac:dyDescent="0.15">
      <c r="A171" s="85" t="s">
        <v>293</v>
      </c>
      <c r="B171" s="85" t="s">
        <v>272</v>
      </c>
      <c r="C171" s="251" t="s">
        <v>273</v>
      </c>
      <c r="D171" s="251"/>
      <c r="E171" s="85">
        <f>ROUND(E164*IF(ISNUMBER(FIND("住宅",房屋用途)),"1%","3%"),2)</f>
        <v>2.42</v>
      </c>
    </row>
    <row r="172" spans="1:14" ht="43.5" customHeight="1" x14ac:dyDescent="0.15">
      <c r="A172" s="85" t="s">
        <v>294</v>
      </c>
      <c r="B172" s="85" t="s">
        <v>175</v>
      </c>
      <c r="C172" s="251" t="s">
        <v>176</v>
      </c>
      <c r="D172" s="251"/>
      <c r="E172" s="85">
        <f>ROUND(E164*2.4%,2)</f>
        <v>5.82</v>
      </c>
    </row>
    <row r="173" spans="1:14" ht="29.25" customHeight="1" x14ac:dyDescent="0.15">
      <c r="A173" s="85" t="s">
        <v>177</v>
      </c>
      <c r="B173" s="85" t="s">
        <v>60</v>
      </c>
      <c r="C173" s="251" t="s">
        <v>69</v>
      </c>
      <c r="D173" s="251"/>
      <c r="E173" s="85">
        <v>0</v>
      </c>
    </row>
    <row r="174" spans="1:14" ht="21" customHeight="1" x14ac:dyDescent="0.15">
      <c r="A174" s="251" t="s">
        <v>299</v>
      </c>
      <c r="B174" s="251"/>
      <c r="C174" s="251"/>
      <c r="D174" s="251"/>
      <c r="E174" s="85">
        <f>SUM(E166:E173)</f>
        <v>21.18</v>
      </c>
    </row>
    <row r="175" spans="1:14" ht="21" customHeight="1" x14ac:dyDescent="0.15">
      <c r="A175" s="251" t="s">
        <v>300</v>
      </c>
      <c r="B175" s="251"/>
      <c r="C175" s="251"/>
      <c r="D175" s="251"/>
      <c r="E175" s="85">
        <f>E164-E174</f>
        <v>221.26999999999998</v>
      </c>
    </row>
    <row r="176" spans="1:14" ht="21" customHeight="1" x14ac:dyDescent="0.15">
      <c r="A176" s="251" t="s">
        <v>178</v>
      </c>
      <c r="B176" s="251"/>
      <c r="C176" s="251"/>
      <c r="D176" s="251"/>
      <c r="E176" s="251"/>
    </row>
  </sheetData>
  <protectedRanges>
    <protectedRange sqref="B161:C161 H155:N155" name="区域1"/>
  </protectedRanges>
  <customSheetViews>
    <customSheetView guid="{AE981602-F4CF-4366-B91E-697FDAE77D82}" scale="70">
      <selection activeCell="D6" sqref="D6"/>
      <pageMargins left="0.75" right="0.75" top="1" bottom="1" header="0.5" footer="0.5"/>
      <pageSetup paperSize="9" orientation="portrait"/>
      <headerFooter alignWithMargins="0"/>
    </customSheetView>
  </customSheetViews>
  <mergeCells count="141">
    <mergeCell ref="H125:I125"/>
    <mergeCell ref="J125:M125"/>
    <mergeCell ref="A91:F91"/>
    <mergeCell ref="H120:I120"/>
    <mergeCell ref="H121:I121"/>
    <mergeCell ref="J121:M121"/>
    <mergeCell ref="H122:I122"/>
    <mergeCell ref="J122:M122"/>
    <mergeCell ref="H123:I123"/>
    <mergeCell ref="J123:M123"/>
    <mergeCell ref="H124:I124"/>
    <mergeCell ref="J124:M124"/>
    <mergeCell ref="A98:A106"/>
    <mergeCell ref="A107:A115"/>
    <mergeCell ref="A116:A117"/>
    <mergeCell ref="H92:I92"/>
    <mergeCell ref="H93:I93"/>
    <mergeCell ref="H94:I94"/>
    <mergeCell ref="H95:I95"/>
    <mergeCell ref="H96:I96"/>
    <mergeCell ref="H97:H106"/>
    <mergeCell ref="H107:H116"/>
    <mergeCell ref="H117:H119"/>
    <mergeCell ref="A1:F1"/>
    <mergeCell ref="B13:F13"/>
    <mergeCell ref="E45:F45"/>
    <mergeCell ref="C47:F47"/>
    <mergeCell ref="E46:F46"/>
    <mergeCell ref="C48:F48"/>
    <mergeCell ref="B20:F20"/>
    <mergeCell ref="B19:F19"/>
    <mergeCell ref="C40:F40"/>
    <mergeCell ref="C41:F41"/>
    <mergeCell ref="C42:F42"/>
    <mergeCell ref="C43:F43"/>
    <mergeCell ref="C44:F44"/>
    <mergeCell ref="E31:F31"/>
    <mergeCell ref="E32:F32"/>
    <mergeCell ref="C37:F37"/>
    <mergeCell ref="C38:F38"/>
    <mergeCell ref="C39:F39"/>
    <mergeCell ref="A8:F8"/>
    <mergeCell ref="E3:E4"/>
    <mergeCell ref="A45:A48"/>
    <mergeCell ref="A18:F18"/>
    <mergeCell ref="I89:J89"/>
    <mergeCell ref="A57:B57"/>
    <mergeCell ref="A54:B54"/>
    <mergeCell ref="H54:I54"/>
    <mergeCell ref="A55:B55"/>
    <mergeCell ref="H55:I55"/>
    <mergeCell ref="A56:B56"/>
    <mergeCell ref="H56:I56"/>
    <mergeCell ref="H84:H88"/>
    <mergeCell ref="H74:H83"/>
    <mergeCell ref="H57:I57"/>
    <mergeCell ref="A58:B58"/>
    <mergeCell ref="H58:I58"/>
    <mergeCell ref="A59:B59"/>
    <mergeCell ref="H59:I59"/>
    <mergeCell ref="H60:I60"/>
    <mergeCell ref="A61:A73"/>
    <mergeCell ref="H61:H73"/>
    <mergeCell ref="B72:B73"/>
    <mergeCell ref="A28:F28"/>
    <mergeCell ref="A6:E6"/>
    <mergeCell ref="A37:A44"/>
    <mergeCell ref="A31:A36"/>
    <mergeCell ref="C29:F29"/>
    <mergeCell ref="C30:D30"/>
    <mergeCell ref="C33:F33"/>
    <mergeCell ref="C34:F34"/>
    <mergeCell ref="C35:F35"/>
    <mergeCell ref="C36:F36"/>
    <mergeCell ref="B27:F27"/>
    <mergeCell ref="A12:F12"/>
    <mergeCell ref="A29:A30"/>
    <mergeCell ref="A140:H140"/>
    <mergeCell ref="A141:G141"/>
    <mergeCell ref="A142:G142"/>
    <mergeCell ref="C143:D143"/>
    <mergeCell ref="E143:F143"/>
    <mergeCell ref="A50:F50"/>
    <mergeCell ref="A84:A87"/>
    <mergeCell ref="A53:B53"/>
    <mergeCell ref="A74:A83"/>
    <mergeCell ref="B82:B83"/>
    <mergeCell ref="A60:B60"/>
    <mergeCell ref="A52:F52"/>
    <mergeCell ref="A51:F51"/>
    <mergeCell ref="H53:I53"/>
    <mergeCell ref="H52:O52"/>
    <mergeCell ref="A92:B92"/>
    <mergeCell ref="A93:B94"/>
    <mergeCell ref="C93:C94"/>
    <mergeCell ref="D93:D94"/>
    <mergeCell ref="E93:E94"/>
    <mergeCell ref="F93:F94"/>
    <mergeCell ref="A95:B95"/>
    <mergeCell ref="A96:B96"/>
    <mergeCell ref="A97:B97"/>
    <mergeCell ref="A147:G147"/>
    <mergeCell ref="F148:G148"/>
    <mergeCell ref="F149:G149"/>
    <mergeCell ref="F150:G150"/>
    <mergeCell ref="F151:G151"/>
    <mergeCell ref="C144:D144"/>
    <mergeCell ref="E144:F144"/>
    <mergeCell ref="C145:D145"/>
    <mergeCell ref="E145:F145"/>
    <mergeCell ref="C146:D146"/>
    <mergeCell ref="E146:F146"/>
    <mergeCell ref="F155:G155"/>
    <mergeCell ref="B156:G156"/>
    <mergeCell ref="A157:G157"/>
    <mergeCell ref="A152:G152"/>
    <mergeCell ref="B153:C153"/>
    <mergeCell ref="D153:E153"/>
    <mergeCell ref="F153:G153"/>
    <mergeCell ref="B154:C154"/>
    <mergeCell ref="D154:E154"/>
    <mergeCell ref="F154:G154"/>
    <mergeCell ref="A176:E176"/>
    <mergeCell ref="B155:C155"/>
    <mergeCell ref="D155:E155"/>
    <mergeCell ref="C164:D164"/>
    <mergeCell ref="C166:D166"/>
    <mergeCell ref="C167:D167"/>
    <mergeCell ref="C168:D168"/>
    <mergeCell ref="C169:D169"/>
    <mergeCell ref="C170:D170"/>
    <mergeCell ref="C171:D171"/>
    <mergeCell ref="C172:D172"/>
    <mergeCell ref="C173:D173"/>
    <mergeCell ref="A163:E163"/>
    <mergeCell ref="A164:A165"/>
    <mergeCell ref="B164:B165"/>
    <mergeCell ref="C165:D165"/>
    <mergeCell ref="E164:E165"/>
    <mergeCell ref="A174:D174"/>
    <mergeCell ref="A175:D175"/>
  </mergeCells>
  <phoneticPr fontId="17" type="noConversion"/>
  <conditionalFormatting sqref="A147:G161">
    <cfRule type="notContainsText" dxfId="17" priority="19" operator="notContains" text="没得颜色">
      <formula>ISERROR(SEARCH("没得颜色",A147))</formula>
    </cfRule>
  </conditionalFormatting>
  <conditionalFormatting sqref="A141:H146 A147:G161">
    <cfRule type="containsBlanks" dxfId="16" priority="18">
      <formula>LEN(TRIM(A141))=0</formula>
    </cfRule>
  </conditionalFormatting>
  <conditionalFormatting sqref="A141:H146">
    <cfRule type="notContainsText" dxfId="15" priority="20" operator="notContains" text="没的颜色">
      <formula>ISERROR(SEARCH("没的颜色",A141))</formula>
    </cfRule>
  </conditionalFormatting>
  <conditionalFormatting sqref="B14">
    <cfRule type="expression" dxfId="14" priority="42">
      <formula>IF(OR($B$14&gt;=#REF!,$B$14&gt;=$D$14),1,0)</formula>
    </cfRule>
  </conditionalFormatting>
  <conditionalFormatting sqref="B15:B16">
    <cfRule type="expression" dxfId="13" priority="9">
      <formula>IF($B$15=$B$16,1,0)</formula>
    </cfRule>
  </conditionalFormatting>
  <conditionalFormatting sqref="B23:B24">
    <cfRule type="expression" dxfId="12" priority="6">
      <formula>IF($B$23&gt;$B$24,1,0)</formula>
    </cfRule>
  </conditionalFormatting>
  <conditionalFormatting sqref="B25">
    <cfRule type="expression" dxfId="11" priority="21" stopIfTrue="1">
      <formula>IF(#REF!="划拨",1,0)</formula>
    </cfRule>
    <cfRule type="expression" dxfId="10" priority="30" stopIfTrue="1">
      <formula>$F$23="商品房"</formula>
    </cfRule>
  </conditionalFormatting>
  <conditionalFormatting sqref="D14 F14">
    <cfRule type="expression" dxfId="9" priority="39">
      <formula>IF(#REF!&gt;=$D$14,1,0)</formula>
    </cfRule>
  </conditionalFormatting>
  <conditionalFormatting sqref="D15:D16">
    <cfRule type="expression" dxfId="8" priority="10">
      <formula>IF($D$15=$D$16,1,0)</formula>
    </cfRule>
  </conditionalFormatting>
  <conditionalFormatting sqref="D23:D24">
    <cfRule type="expression" dxfId="7" priority="8">
      <formula>IF($D$23&gt;$D$24,1,0)</formula>
    </cfRule>
  </conditionalFormatting>
  <conditionalFormatting sqref="D59">
    <cfRule type="expression" dxfId="6" priority="44">
      <formula>IF($D$59&gt;=$B$14,1,0)</formula>
    </cfRule>
  </conditionalFormatting>
  <conditionalFormatting sqref="E59">
    <cfRule type="expression" dxfId="5" priority="32">
      <formula>IF($E$59&gt;=#REF!,0)</formula>
    </cfRule>
  </conditionalFormatting>
  <conditionalFormatting sqref="F15:F16">
    <cfRule type="expression" dxfId="4" priority="11">
      <formula>IF($F$15=$F$16,1,0)</formula>
    </cfRule>
  </conditionalFormatting>
  <conditionalFormatting sqref="F59">
    <cfRule type="expression" dxfId="3" priority="45">
      <formula>IF($F$59&gt;=$B$14,1,0)</formula>
    </cfRule>
  </conditionalFormatting>
  <conditionalFormatting sqref="J59:M88">
    <cfRule type="notContainsText" dxfId="2" priority="24" operator="notContains" text="100">
      <formula>ISERROR(SEARCH("100",J59))</formula>
    </cfRule>
  </conditionalFormatting>
  <conditionalFormatting sqref="N90:N138">
    <cfRule type="containsText" dxfId="1" priority="27" operator="containsText" text="不合理">
      <formula>NOT(ISERROR(SEARCH("不合理",N90)))</formula>
    </cfRule>
  </conditionalFormatting>
  <conditionalFormatting sqref="O59:O87">
    <cfRule type="notContainsText" dxfId="0" priority="25" operator="notContains" text="均为100">
      <formula>ISERROR(SEARCH("均为100",O59))</formula>
    </cfRule>
  </conditionalFormatting>
  <dataValidations xWindow="396" yWindow="1141" count="59">
    <dataValidation type="list" allowBlank="1" showInputMessage="1" showErrorMessage="1" prompt="平层约2.8-3米，错层约3.6米，跃层层约5.6-6米" sqref="C75:F75" xr:uid="{00000000-0002-0000-0400-000000000000}">
      <formula1>"约6米,约5.6米,约3.6米,约3米,约2.8米"</formula1>
    </dataValidation>
    <dataValidation type="list" allowBlank="1" showInputMessage="1" showErrorMessage="1" sqref="C77:F77" xr:uid="{00000000-0002-0000-0400-000001000000}">
      <formula1>"豪华装修,精装修,中档装修,普通装修,毛坯房"</formula1>
    </dataValidation>
    <dataValidation allowBlank="1" showInputMessage="1" showErrorMessage="1" prompt="请手动录入" sqref="D81:F81" xr:uid="{00000000-0002-0000-0400-000002000000}"/>
    <dataValidation type="whole" allowBlank="1" showInputMessage="1" showErrorMessage="1" sqref="J75 J69:M69 J84:M87" xr:uid="{00000000-0002-0000-0400-000003000000}">
      <formula1>100</formula1>
      <formula2>100</formula2>
    </dataValidation>
    <dataValidation allowBlank="1" showInputMessage="1" showErrorMessage="1" prompt="手动录入" sqref="C69:F69 D70:F70 D59:F59 C55:F55 D57:F57 D54:F54" xr:uid="{00000000-0002-0000-0400-000004000000}"/>
    <dataValidation type="whole" allowBlank="1" showInputMessage="1" showErrorMessage="1" prompt="请输入建成年代，格式为整数，例：2004" sqref="D82:F82" xr:uid="{00000000-0002-0000-0400-000005000000}">
      <formula1>1800</formula1>
      <formula2>2021</formula2>
    </dataValidation>
    <dataValidation allowBlank="1" showInputMessage="1" showErrorMessage="1" prompt="自动链接无需修改" sqref="C54 C70 C81:C83" xr:uid="{00000000-0002-0000-0400-000006000000}"/>
    <dataValidation type="list" allowBlank="1" showInputMessage="1" showErrorMessage="1" prompt="请在下拉框中选择" sqref="C61:F61" xr:uid="{00000000-0002-0000-0400-000007000000}">
      <formula1>"环境优美,环境较好,环境一般,环境较差,环境差"</formula1>
    </dataValidation>
    <dataValidation type="list" allowBlank="1" showInputMessage="1" showErrorMessage="1" prompt="请在下拉框中选择" sqref="C80:F80 C71:F71 C68:F68 C62:F63 C65:F65 C78:F78" xr:uid="{00000000-0002-0000-0400-000008000000}">
      <formula1>"好,较好,一般,较差,差"</formula1>
    </dataValidation>
    <dataValidation type="list" allowBlank="1" showInputMessage="1" showErrorMessage="1" prompt="请在下拉框中选择" sqref="C64:F64" xr:uid="{00000000-0002-0000-0400-000009000000}">
      <formula1>"小于500m,500-1000m,1000-2000m,2000-4000m,大于4000m"</formula1>
    </dataValidation>
    <dataValidation type="list" allowBlank="1" showInputMessage="1" showErrorMessage="1" prompt="请在下拉框中选择" sqref="C66:F67" xr:uid="{00000000-0002-0000-0400-00000A000000}">
      <formula1>"配套完善,配套较完善,配套一般,配套较不完善,配套不完善"</formula1>
    </dataValidation>
    <dataValidation type="list" allowBlank="1" showInputMessage="1" showErrorMessage="1" prompt="请在下拉框中选择" sqref="C72:F72" xr:uid="{00000000-0002-0000-0400-00000B000000}">
      <formula1>"南,东南,西南,东,西,东北,西北,北"</formula1>
    </dataValidation>
    <dataValidation type="list" allowBlank="1" showInputMessage="1" showErrorMessage="1" prompt="请在下拉框中选择" sqref="C74:F74" xr:uid="{00000000-0002-0000-0400-00000C000000}">
      <formula1>"钢混结构,框架结构,砖混结构,砖木结构,简易结构"</formula1>
    </dataValidation>
    <dataValidation type="list" allowBlank="1" showInputMessage="1" showErrorMessage="1" prompt="请在下拉框中选择" sqref="C76:F76 F26" xr:uid="{00000000-0002-0000-0400-00000D000000}">
      <formula1>"幕墙,石材,墙砖,外墙漆,抹灰,清水"</formula1>
    </dataValidation>
    <dataValidation type="list" allowBlank="1" showInputMessage="1" showErrorMessage="1" prompt="请在下拉框中选择" sqref="C79:F79" xr:uid="{00000000-0002-0000-0400-00000E000000}">
      <formula1>"合理,较合理,一般,较不合理,不合理"</formula1>
    </dataValidation>
    <dataValidation type="list" allowBlank="1" showInputMessage="1" showErrorMessage="1" prompt="请在下拉框中选择" sqref="C84:F84 B25" xr:uid="{00000000-0002-0000-0400-00000F000000}">
      <formula1>"出让,划拨"</formula1>
    </dataValidation>
    <dataValidation type="list" allowBlank="1" showInputMessage="1" showErrorMessage="1" prompt="请在下拉框中选择" sqref="C86:F86" xr:uid="{00000000-0002-0000-0400-000010000000}">
      <formula1>"已出租，本次未考虑其影响,无"</formula1>
    </dataValidation>
    <dataValidation type="list" allowBlank="1" showInputMessage="1" showErrorMessage="1" prompt="请在下拉框中选择" sqref="C87:F87" xr:uid="{00000000-0002-0000-0400-000011000000}">
      <formula1>"已设定抵押，尚未注销,无"</formula1>
    </dataValidation>
    <dataValidation allowBlank="1" showInputMessage="1" showErrorMessage="1" prompt="自动生成无需修改" sqref="O82" xr:uid="{00000000-0002-0000-0400-000013000000}"/>
    <dataValidation allowBlank="1" showInputMessage="1" showErrorMessage="1" prompt="不做调成" sqref="O84:O87" xr:uid="{00000000-0002-0000-0400-000014000000}"/>
    <dataValidation allowBlank="1" showInputMessage="1" showErrorMessage="1" prompt="自动计算无需修改" sqref="D58:F58" xr:uid="{00000000-0002-0000-0400-000015000000}"/>
    <dataValidation type="list" allowBlank="1" showInputMessage="1" showErrorMessage="1" prompt="均为正常" sqref="C60:F60" xr:uid="{00000000-0002-0000-0400-000016000000}">
      <formula1>"正常,抵押,交易,分期,拍卖"</formula1>
    </dataValidation>
    <dataValidation allowBlank="1" showInputMessage="1" showErrorMessage="1" prompt="自动生成，无需修改" sqref="O71:O72 O61:O69 O74:O81" xr:uid="{00000000-0002-0000-0400-000017000000}"/>
    <dataValidation allowBlank="1" showInputMessage="1" showErrorMessage="1" prompt="自动生成，无需操作" sqref="G54" xr:uid="{00000000-0002-0000-0400-000018000000}"/>
    <dataValidation allowBlank="1" showInputMessage="1" showErrorMessage="1" prompt="请手动录入建筑物总楼层" sqref="C56:F56" xr:uid="{00000000-0002-0000-0400-000019000000}"/>
    <dataValidation allowBlank="1" showInputMessage="1" showErrorMessage="1" prompt="请手动输入" sqref="D85:F85" xr:uid="{00000000-0002-0000-0400-00001A000000}"/>
    <dataValidation type="date" operator="greaterThan" allowBlank="1" showInputMessage="1" showErrorMessage="1" error="请输入日期" prompt="输入日期" sqref="B26" xr:uid="{00000000-0002-0000-0400-00001B000000}">
      <formula1>1</formula1>
    </dataValidation>
    <dataValidation type="list" allowBlank="1" showInputMessage="1" showErrorMessage="1" prompt="请在下拉框中选择" sqref="B22" xr:uid="{00000000-0002-0000-0400-00001C000000}">
      <formula1>"其他商服用地,商务金融用地,批发零售用地,城镇住宅用地,仓储用地,工业用地"</formula1>
    </dataValidation>
    <dataValidation type="list" allowBlank="1" showInputMessage="1" prompt="请在下拉框中选择" sqref="D22" xr:uid="{00000000-0002-0000-0400-00001D000000}">
      <formula1>"成套住宅,住宅,商业,办公,工业,仓储,其他"</formula1>
    </dataValidation>
    <dataValidation type="list" allowBlank="1" showInputMessage="1" showErrorMessage="1" sqref="D21" xr:uid="{00000000-0002-0000-0400-00001E000000}">
      <formula1>"单独所有,共同所有,按份共有"</formula1>
    </dataValidation>
    <dataValidation allowBlank="1" showInputMessage="1" sqref="A22" xr:uid="{00000000-0002-0000-0400-00001F000000}"/>
    <dataValidation type="whole" allowBlank="1" showInputMessage="1" showErrorMessage="1" promptTitle="提示：" prompt="输入大于0小于70的整数" sqref="F23" xr:uid="{00000000-0002-0000-0400-000020000000}">
      <formula1>0</formula1>
      <formula2>70</formula2>
    </dataValidation>
    <dataValidation type="list" allowBlank="1" showInputMessage="1" showErrorMessage="1" sqref="D3" xr:uid="{00000000-0002-0000-0400-000021000000}">
      <formula1>"0%,5%,10%,20%,30%,40%,50%,60%,70%,80%,90%,100%"</formula1>
    </dataValidation>
    <dataValidation type="list" allowBlank="1" showInputMessage="1" showErrorMessage="1" sqref="C29" xr:uid="{00000000-0002-0000-0400-000022000000}">
      <formula1>"自用，无出租或占用情况,出租,空置"</formula1>
    </dataValidation>
    <dataValidation type="list" allowBlank="1" showInputMessage="1" showErrorMessage="1" promptTitle="提示：" prompt="请在下拉框中选择" sqref="H153:N153" xr:uid="{00000000-0002-0000-0400-000023000000}">
      <formula1>"0.1%,0.2%"</formula1>
    </dataValidation>
    <dataValidation type="list" allowBlank="1" showInputMessage="1" showErrorMessage="1" promptTitle="提示：" prompt="请在下拉框中选择" sqref="H151:N151" xr:uid="{00000000-0002-0000-0400-000024000000}">
      <formula1>"0.5%,1%,1.5%"</formula1>
    </dataValidation>
    <dataValidation type="list" allowBlank="1" showInputMessage="1" showErrorMessage="1" promptTitle="提示：" prompt="请在下拉框中选择" sqref="H155:N155" xr:uid="{00000000-0002-0000-0400-000025000000}">
      <formula1>"17.5%,17.6%"</formula1>
    </dataValidation>
    <dataValidation type="list" allowBlank="1" showInputMessage="1" showErrorMessage="1" promptTitle="提示：" prompt="请在下拉框中选择租金增长率，区县取值建议≤6%" sqref="B161" xr:uid="{00000000-0002-0000-0400-000026000000}">
      <formula1>"3%,4%,,5%,6%,7%,8%,9%,10%,"</formula1>
    </dataValidation>
    <dataValidation type="list" allowBlank="1" showInputMessage="1" showErrorMessage="1" promptTitle="提示：" prompt="请在下拉框中选择租金增长年限，建议增长年限为5-10年" sqref="C161" xr:uid="{00000000-0002-0000-0400-000027000000}">
      <formula1>"5,6,7,8,9,10"</formula1>
    </dataValidation>
    <dataValidation allowBlank="1" showInputMessage="1" showErrorMessage="1" promptTitle="提示：" prompt="重庆市2023年一季度建筑工程单方造价综合指标_x000a_高层住宅 1410～1560_x000a_超高层住宅 1650～1830_x000a_洋房 1720～1900_x000a_叠拼别墅 2070～2290_x000a_独栋别墅 2410～2670_x000a_综合楼 2270～2510_x000a_教学楼 1610～1780_x000a_厂房 1550～1710_x000a_" sqref="H142:N142" xr:uid="{00000000-0002-0000-0400-000028000000}"/>
    <dataValidation type="list" allowBlank="1" showInputMessage="1" showErrorMessage="1" promptTitle="提示：" prompt="请在下拉框中选择" sqref="H149:N149" xr:uid="{00000000-0002-0000-0400-000029000000}">
      <formula1>"1%,,1.5%,2%,3%"</formula1>
    </dataValidation>
    <dataValidation type="list" allowBlank="1" showInputMessage="1" showErrorMessage="1" promptTitle="提示：" prompt="请在下拉框中选择空置率" sqref="E146:F146" xr:uid="{00000000-0002-0000-0400-00002A000000}">
      <formula1>"4%,5%,6%,7%,8%,9%,10%"</formula1>
    </dataValidation>
    <dataValidation type="decimal" operator="greaterThan" allowBlank="1" showInputMessage="1" showErrorMessage="1" prompt="输入数值" sqref="D24" xr:uid="{00000000-0002-0000-0400-00002B000000}">
      <formula1>0</formula1>
    </dataValidation>
    <dataValidation type="list" allowBlank="1" showInputMessage="1" showErrorMessage="1" sqref="B15:B16" xr:uid="{00000000-0002-0000-0400-00002C000000}">
      <formula1>"谢  渝,闫凯旋,韩  静,洪  译,蒋代平"</formula1>
    </dataValidation>
    <dataValidation type="list" allowBlank="1" showInputMessage="1" showErrorMessage="1" sqref="B71" xr:uid="{00000000-0002-0000-0400-00002D000000}">
      <formula1>"居住适宜度,商业繁华度"</formula1>
    </dataValidation>
    <dataValidation type="whole" allowBlank="1" showInputMessage="1" showErrorMessage="1" error="请输入日期" prompt="输入日期" sqref="F22" xr:uid="{00000000-0002-0000-0400-00002E000000}">
      <formula1>1990</formula1>
      <formula2>2023</formula2>
    </dataValidation>
    <dataValidation type="whole" allowBlank="1" showInputMessage="1" showErrorMessage="1" promptTitle="提示：" prompt="输入大于0小于100的整数" sqref="F24" xr:uid="{00000000-0002-0000-0400-00002F000000}">
      <formula1>1</formula1>
      <formula2>100</formula2>
    </dataValidation>
    <dataValidation type="decimal" operator="greaterThanOrEqual" allowBlank="1" showInputMessage="1" showErrorMessage="1" prompt="输入数值，如果未记载套内面积，请填入0，或者让单元格为空" sqref="D23" xr:uid="{00000000-0002-0000-0400-000030000000}">
      <formula1>0</formula1>
    </dataValidation>
    <dataValidation type="list" allowBlank="1" showInputMessage="1" showErrorMessage="1" prompt="平层约2.8-3米，错层约3.6米，跃层层约5.6-6米" sqref="F25" xr:uid="{00000000-0002-0000-0400-000031000000}">
      <formula1>"6,5.6,3.6,4,3,2.8"</formula1>
    </dataValidation>
    <dataValidation type="list" allowBlank="1" showInputMessage="1" showErrorMessage="1" prompt="请根据实际情况下拉选择" sqref="A19" xr:uid="{00000000-0002-0000-0400-000032000000}">
      <formula1>"房地产权证,不动产权证书"</formula1>
    </dataValidation>
    <dataValidation type="list" allowBlank="1" showInputMessage="1" showErrorMessage="1" prompt="请在下拉框中选择" sqref="D25" xr:uid="{00000000-0002-0000-0400-000033000000}">
      <formula1>"钢混结构,钢筋混凝土结构,框架结构,砖混结构,砖木结构,简易结构"</formula1>
    </dataValidation>
    <dataValidation allowBlank="1" showInputMessage="1" showErrorMessage="1" prompt="如果是不动产权证，记载的没有分摊土地面积，则填写：0" sqref="B23" xr:uid="{00000000-0002-0000-0400-000034000000}"/>
    <dataValidation type="list" operator="greaterThan" allowBlank="1" showInputMessage="1" showErrorMessage="1" error="请输入日期" prompt="输入日期" sqref="B27" xr:uid="{00000000-0002-0000-0400-000035000000}">
      <formula1>"包含土地使用权、房屋所有权、室内不可移动的装饰装修及为房屋服务且不可分割或分割后影响其使用功能的设施设备，不包含房屋内动产、可移动的家具家电、相应的债权债务及等其他财产或者权益,包含土地使用权、房屋所有权、部分房屋内可移动的家具家电、室内不可移动的装饰装修以及为房屋服务且不可分割或分割后影响其使用功能的设施设备，但不包含相应的债权债务等及其他财产或者权益"</formula1>
    </dataValidation>
    <dataValidation type="list" allowBlank="1" showInputMessage="1" showErrorMessage="1" sqref="C44" xr:uid="{00000000-0002-0000-0400-000036000000}">
      <formula1>"所在楼栋有物业进行管理，物业管理规范、完善,所在楼栋有物业进行管理"</formula1>
    </dataValidation>
    <dataValidation type="list" allowBlank="1" showInputMessage="1" showErrorMessage="1" sqref="C34" xr:uid="{00000000-0002-0000-0400-000037000000}">
      <formula1>"估价对象所在大楼有地下停车场，车位充足,估价对象周边有地面画线车位，周边有沿街占道临时停车位，停车方便"</formula1>
    </dataValidation>
    <dataValidation type="list" allowBlank="1" showInputMessage="1" showErrorMessage="1" sqref="F30" xr:uid="{00000000-0002-0000-0400-000038000000}">
      <formula1>"未设定抵押权利,已设定抵押权利"</formula1>
    </dataValidation>
    <dataValidation type="list" allowBlank="1" showInputMessage="1" showErrorMessage="1" sqref="E30" xr:uid="{00000000-0002-0000-0400-000039000000}">
      <formula1>"不动产登记查询结果告知单,估价委托人介绍"</formula1>
    </dataValidation>
    <dataValidation type="date" allowBlank="1" showInputMessage="1" showErrorMessage="1" sqref="B14 F14 D14" xr:uid="{00000000-0002-0000-0400-00003A000000}">
      <formula1>45108</formula1>
      <formula2>46022</formula2>
    </dataValidation>
    <dataValidation allowBlank="1" showInputMessage="1" showErrorMessage="1" prompt="半自动生成，请认真查看验真，视情况修改" sqref="O70" xr:uid="{00000000-0002-0000-0400-000012000000}"/>
  </dataValidations>
  <hyperlinks>
    <hyperlink ref="A3" location="市场法估价测算过程" display="比较法" xr:uid="{00000000-0004-0000-0400-000000000000}"/>
    <hyperlink ref="A4" location="收益法估价测算过程" display="收益法" xr:uid="{00000000-0004-0000-0400-000001000000}"/>
    <hyperlink ref="A5" location="家具评估结果明细表!Print_Area" display="家具家电" xr:uid="{00000000-0004-0000-0400-000002000000}"/>
  </hyperlink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J21"/>
  <sheetViews>
    <sheetView view="pageBreakPreview" zoomScaleNormal="190" zoomScaleSheetLayoutView="100" workbookViewId="0">
      <selection activeCell="E19" sqref="A3:E19"/>
    </sheetView>
  </sheetViews>
  <sheetFormatPr defaultColWidth="9" defaultRowHeight="13.5" x14ac:dyDescent="0.15"/>
  <cols>
    <col min="1" max="1" width="13.375" style="128" customWidth="1"/>
    <col min="2" max="2" width="14.875" style="128" customWidth="1"/>
    <col min="3" max="4" width="13.875" style="128" customWidth="1"/>
    <col min="5" max="5" width="15.375" style="128" customWidth="1"/>
    <col min="6" max="6" width="15.875" style="128" customWidth="1"/>
    <col min="7" max="7" width="9" style="128"/>
    <col min="8" max="10" width="13" style="128" customWidth="1"/>
    <col min="11" max="16384" width="9" style="128"/>
  </cols>
  <sheetData>
    <row r="1" spans="1:10" ht="35.25" customHeight="1" x14ac:dyDescent="0.15">
      <c r="A1" s="324" t="s">
        <v>497</v>
      </c>
      <c r="B1" s="324"/>
      <c r="C1" s="324"/>
      <c r="D1" s="324"/>
      <c r="E1" s="324"/>
      <c r="F1" s="324"/>
    </row>
    <row r="2" spans="1:10" ht="28.5" customHeight="1" x14ac:dyDescent="0.15">
      <c r="A2" s="325" t="str">
        <f>"坐落："&amp;[0]!坐落</f>
        <v>坐落：渝中区长江一路79号15-1、15-6#</v>
      </c>
      <c r="B2" s="325"/>
      <c r="C2" s="325"/>
      <c r="D2" s="325"/>
      <c r="E2" s="202"/>
      <c r="F2" s="203" t="s">
        <v>499</v>
      </c>
    </row>
    <row r="3" spans="1:10" ht="28.5" x14ac:dyDescent="0.15">
      <c r="A3" s="200" t="s">
        <v>334</v>
      </c>
      <c r="B3" s="200" t="s">
        <v>1</v>
      </c>
      <c r="C3" s="200" t="s">
        <v>439</v>
      </c>
      <c r="D3" s="200" t="s">
        <v>440</v>
      </c>
      <c r="E3" s="200" t="s">
        <v>441</v>
      </c>
      <c r="F3" s="200" t="s">
        <v>442</v>
      </c>
      <c r="G3" s="128">
        <f>E19</f>
        <v>12600</v>
      </c>
      <c r="H3" s="62" t="s">
        <v>443</v>
      </c>
      <c r="I3" s="128" t="s">
        <v>498</v>
      </c>
      <c r="J3" s="62" t="s">
        <v>444</v>
      </c>
    </row>
    <row r="4" spans="1:10" ht="32.25" customHeight="1" x14ac:dyDescent="0.15">
      <c r="A4" s="201">
        <v>1</v>
      </c>
      <c r="B4" s="207" t="s">
        <v>502</v>
      </c>
      <c r="C4" s="207" t="s">
        <v>451</v>
      </c>
      <c r="D4" s="207">
        <v>1</v>
      </c>
      <c r="E4" s="201">
        <f>J4</f>
        <v>680</v>
      </c>
      <c r="F4" s="201"/>
      <c r="H4" s="209">
        <v>1700</v>
      </c>
      <c r="I4" s="210">
        <v>0.4</v>
      </c>
      <c r="J4" s="128">
        <f>ROUND(I4*H4,-1)</f>
        <v>680</v>
      </c>
    </row>
    <row r="5" spans="1:10" ht="32.25" customHeight="1" x14ac:dyDescent="0.15">
      <c r="A5" s="201">
        <v>2</v>
      </c>
      <c r="B5" s="207" t="s">
        <v>448</v>
      </c>
      <c r="C5" s="207" t="s">
        <v>449</v>
      </c>
      <c r="D5" s="207">
        <v>1</v>
      </c>
      <c r="E5" s="201">
        <f t="shared" ref="E5:E18" si="0">J5</f>
        <v>280</v>
      </c>
      <c r="F5" s="201"/>
      <c r="H5" s="209">
        <v>700</v>
      </c>
      <c r="I5" s="210">
        <v>0.4</v>
      </c>
      <c r="J5" s="128">
        <f t="shared" ref="J5:J18" si="1">ROUND(I5*H5,-1)</f>
        <v>280</v>
      </c>
    </row>
    <row r="6" spans="1:10" ht="32.25" customHeight="1" x14ac:dyDescent="0.15">
      <c r="A6" s="201">
        <v>3</v>
      </c>
      <c r="B6" s="207" t="s">
        <v>450</v>
      </c>
      <c r="C6" s="207" t="s">
        <v>451</v>
      </c>
      <c r="D6" s="207">
        <v>1</v>
      </c>
      <c r="E6" s="201">
        <f t="shared" si="0"/>
        <v>1200</v>
      </c>
      <c r="F6" s="201"/>
      <c r="H6" s="209">
        <v>3000</v>
      </c>
      <c r="I6" s="210">
        <v>0.4</v>
      </c>
      <c r="J6" s="128">
        <f t="shared" si="1"/>
        <v>1200</v>
      </c>
    </row>
    <row r="7" spans="1:10" ht="32.25" customHeight="1" x14ac:dyDescent="0.15">
      <c r="A7" s="201">
        <v>4</v>
      </c>
      <c r="B7" s="207" t="s">
        <v>533</v>
      </c>
      <c r="C7" s="207" t="s">
        <v>446</v>
      </c>
      <c r="D7" s="207">
        <v>1</v>
      </c>
      <c r="E7" s="201">
        <f t="shared" si="0"/>
        <v>2000</v>
      </c>
      <c r="F7" s="201"/>
      <c r="H7" s="209">
        <v>8000</v>
      </c>
      <c r="I7" s="210">
        <v>0.25</v>
      </c>
      <c r="J7" s="128">
        <f t="shared" si="1"/>
        <v>2000</v>
      </c>
    </row>
    <row r="8" spans="1:10" ht="32.25" customHeight="1" x14ac:dyDescent="0.15">
      <c r="A8" s="201">
        <v>5</v>
      </c>
      <c r="B8" s="207" t="s">
        <v>503</v>
      </c>
      <c r="C8" s="207" t="s">
        <v>451</v>
      </c>
      <c r="D8" s="207">
        <v>1</v>
      </c>
      <c r="E8" s="201">
        <f t="shared" si="0"/>
        <v>240</v>
      </c>
      <c r="F8" s="201"/>
      <c r="H8" s="209">
        <v>600</v>
      </c>
      <c r="I8" s="210">
        <v>0.4</v>
      </c>
      <c r="J8" s="128">
        <f t="shared" si="1"/>
        <v>240</v>
      </c>
    </row>
    <row r="9" spans="1:10" ht="32.25" customHeight="1" x14ac:dyDescent="0.15">
      <c r="A9" s="201">
        <v>6</v>
      </c>
      <c r="B9" s="207" t="s">
        <v>445</v>
      </c>
      <c r="C9" s="207" t="s">
        <v>446</v>
      </c>
      <c r="D9" s="207">
        <v>1</v>
      </c>
      <c r="E9" s="201">
        <f t="shared" si="0"/>
        <v>760</v>
      </c>
      <c r="F9" s="201"/>
      <c r="H9" s="209">
        <v>1900</v>
      </c>
      <c r="I9" s="210">
        <v>0.4</v>
      </c>
      <c r="J9" s="128">
        <f t="shared" si="1"/>
        <v>760</v>
      </c>
    </row>
    <row r="10" spans="1:10" ht="32.25" customHeight="1" x14ac:dyDescent="0.15">
      <c r="A10" s="201">
        <v>7</v>
      </c>
      <c r="B10" s="207" t="s">
        <v>452</v>
      </c>
      <c r="C10" s="207" t="s">
        <v>449</v>
      </c>
      <c r="D10" s="207">
        <v>1</v>
      </c>
      <c r="E10" s="201">
        <f t="shared" si="0"/>
        <v>840</v>
      </c>
      <c r="F10" s="201"/>
      <c r="H10" s="209">
        <v>2100</v>
      </c>
      <c r="I10" s="210">
        <v>0.4</v>
      </c>
      <c r="J10" s="128">
        <f t="shared" si="1"/>
        <v>840</v>
      </c>
    </row>
    <row r="11" spans="1:10" ht="32.25" customHeight="1" x14ac:dyDescent="0.15">
      <c r="A11" s="201">
        <v>8</v>
      </c>
      <c r="B11" s="207" t="s">
        <v>535</v>
      </c>
      <c r="C11" s="207" t="s">
        <v>446</v>
      </c>
      <c r="D11" s="207">
        <v>1</v>
      </c>
      <c r="E11" s="201">
        <f t="shared" si="0"/>
        <v>800</v>
      </c>
      <c r="F11" s="201"/>
      <c r="H11" s="209">
        <v>2000</v>
      </c>
      <c r="I11" s="210">
        <v>0.4</v>
      </c>
      <c r="J11" s="128">
        <f t="shared" si="1"/>
        <v>800</v>
      </c>
    </row>
    <row r="12" spans="1:10" ht="32.25" customHeight="1" x14ac:dyDescent="0.15">
      <c r="A12" s="201">
        <v>9</v>
      </c>
      <c r="B12" s="207" t="s">
        <v>450</v>
      </c>
      <c r="C12" s="207" t="s">
        <v>449</v>
      </c>
      <c r="D12" s="207">
        <v>1</v>
      </c>
      <c r="E12" s="201">
        <f t="shared" si="0"/>
        <v>320</v>
      </c>
      <c r="F12" s="201"/>
      <c r="H12" s="209">
        <v>800</v>
      </c>
      <c r="I12" s="210">
        <v>0.4</v>
      </c>
      <c r="J12" s="128">
        <f t="shared" si="1"/>
        <v>320</v>
      </c>
    </row>
    <row r="13" spans="1:10" ht="32.25" customHeight="1" x14ac:dyDescent="0.15">
      <c r="A13" s="201">
        <v>10</v>
      </c>
      <c r="B13" s="207" t="s">
        <v>504</v>
      </c>
      <c r="C13" s="207" t="s">
        <v>447</v>
      </c>
      <c r="D13" s="207">
        <v>1</v>
      </c>
      <c r="E13" s="201">
        <f t="shared" si="0"/>
        <v>200</v>
      </c>
      <c r="F13" s="201"/>
      <c r="H13" s="209">
        <v>500</v>
      </c>
      <c r="I13" s="210">
        <v>0.4</v>
      </c>
      <c r="J13" s="128">
        <f t="shared" si="1"/>
        <v>200</v>
      </c>
    </row>
    <row r="14" spans="1:10" ht="32.25" customHeight="1" x14ac:dyDescent="0.15">
      <c r="A14" s="201">
        <v>11</v>
      </c>
      <c r="B14" s="207" t="s">
        <v>453</v>
      </c>
      <c r="C14" s="207" t="s">
        <v>449</v>
      </c>
      <c r="D14" s="207">
        <v>1</v>
      </c>
      <c r="E14" s="201">
        <f t="shared" si="0"/>
        <v>840</v>
      </c>
      <c r="F14" s="201"/>
      <c r="H14" s="209">
        <v>2100</v>
      </c>
      <c r="I14" s="210">
        <v>0.4</v>
      </c>
      <c r="J14" s="128">
        <f t="shared" si="1"/>
        <v>840</v>
      </c>
    </row>
    <row r="15" spans="1:10" ht="32.25" customHeight="1" x14ac:dyDescent="0.15">
      <c r="A15" s="201">
        <v>12</v>
      </c>
      <c r="B15" s="207" t="s">
        <v>534</v>
      </c>
      <c r="C15" s="207" t="s">
        <v>446</v>
      </c>
      <c r="D15" s="207">
        <v>1</v>
      </c>
      <c r="E15" s="201">
        <f t="shared" si="0"/>
        <v>800</v>
      </c>
      <c r="F15" s="201"/>
      <c r="H15" s="209">
        <v>2000</v>
      </c>
      <c r="I15" s="211">
        <v>0.4</v>
      </c>
      <c r="J15" s="128">
        <f t="shared" si="1"/>
        <v>800</v>
      </c>
    </row>
    <row r="16" spans="1:10" ht="32.25" customHeight="1" x14ac:dyDescent="0.15">
      <c r="A16" s="201">
        <v>13</v>
      </c>
      <c r="B16" s="208" t="s">
        <v>505</v>
      </c>
      <c r="C16" s="208" t="s">
        <v>449</v>
      </c>
      <c r="D16" s="208">
        <v>1</v>
      </c>
      <c r="E16" s="201">
        <f t="shared" si="0"/>
        <v>520</v>
      </c>
      <c r="F16" s="201"/>
      <c r="H16" s="209">
        <v>1300</v>
      </c>
      <c r="I16" s="210">
        <v>0.4</v>
      </c>
      <c r="J16" s="128">
        <f t="shared" si="1"/>
        <v>520</v>
      </c>
    </row>
    <row r="17" spans="1:10" ht="32.25" customHeight="1" x14ac:dyDescent="0.15">
      <c r="A17" s="201">
        <v>14</v>
      </c>
      <c r="B17" s="208" t="s">
        <v>506</v>
      </c>
      <c r="C17" s="208" t="s">
        <v>447</v>
      </c>
      <c r="D17" s="208">
        <v>1</v>
      </c>
      <c r="E17" s="201">
        <f t="shared" si="0"/>
        <v>2400</v>
      </c>
      <c r="F17" s="201"/>
      <c r="H17" s="209">
        <f>5*2*600</f>
        <v>6000</v>
      </c>
      <c r="I17" s="210">
        <v>0.4</v>
      </c>
      <c r="J17" s="128">
        <f t="shared" si="1"/>
        <v>2400</v>
      </c>
    </row>
    <row r="18" spans="1:10" ht="32.25" customHeight="1" x14ac:dyDescent="0.15">
      <c r="A18" s="201">
        <v>16</v>
      </c>
      <c r="B18" s="201" t="s">
        <v>454</v>
      </c>
      <c r="C18" s="201" t="s">
        <v>447</v>
      </c>
      <c r="D18" s="201">
        <v>1</v>
      </c>
      <c r="E18" s="201">
        <f t="shared" si="0"/>
        <v>720</v>
      </c>
      <c r="F18" s="201"/>
      <c r="H18" s="209">
        <v>2400</v>
      </c>
      <c r="I18" s="210">
        <v>0.3</v>
      </c>
      <c r="J18" s="128">
        <f t="shared" si="1"/>
        <v>720</v>
      </c>
    </row>
    <row r="19" spans="1:10" ht="32.25" customHeight="1" x14ac:dyDescent="0.15">
      <c r="A19" s="323" t="s">
        <v>455</v>
      </c>
      <c r="B19" s="323"/>
      <c r="C19" s="323"/>
      <c r="D19" s="323"/>
      <c r="E19" s="130">
        <f>SUM(E4:E18)</f>
        <v>12600</v>
      </c>
      <c r="F19" s="130"/>
    </row>
    <row r="20" spans="1:10" ht="27" customHeight="1" x14ac:dyDescent="0.15">
      <c r="A20" s="326" t="s">
        <v>500</v>
      </c>
      <c r="B20" s="326"/>
      <c r="C20" s="326"/>
      <c r="D20" s="326"/>
      <c r="E20" s="326"/>
      <c r="F20" s="326"/>
    </row>
    <row r="21" spans="1:10" ht="27" customHeight="1" x14ac:dyDescent="0.15">
      <c r="A21" s="327" t="s">
        <v>501</v>
      </c>
      <c r="B21" s="327"/>
      <c r="C21" s="327"/>
      <c r="D21" s="327"/>
      <c r="E21" s="327"/>
      <c r="F21" s="327"/>
    </row>
  </sheetData>
  <mergeCells count="5">
    <mergeCell ref="A19:D19"/>
    <mergeCell ref="A1:F1"/>
    <mergeCell ref="A2:D2"/>
    <mergeCell ref="A20:F20"/>
    <mergeCell ref="A21:F21"/>
  </mergeCells>
  <phoneticPr fontId="17"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zoomScaleNormal="100" workbookViewId="0"/>
  </sheetViews>
  <sheetFormatPr defaultRowHeight="13.5" x14ac:dyDescent="0.15"/>
  <sheetData/>
  <phoneticPr fontId="1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4919D-9D64-416B-84E1-D3653505593B}">
  <dimension ref="A1"/>
  <sheetViews>
    <sheetView workbookViewId="0">
      <selection activeCell="H52" sqref="H52"/>
    </sheetView>
  </sheetViews>
  <sheetFormatPr defaultRowHeight="13.5" x14ac:dyDescent="0.15"/>
  <sheetData/>
  <phoneticPr fontId="1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AA45"/>
  <sheetViews>
    <sheetView topLeftCell="A25" zoomScale="70" zoomScaleNormal="70" workbookViewId="0">
      <selection activeCell="B48" sqref="B48"/>
    </sheetView>
  </sheetViews>
  <sheetFormatPr defaultColWidth="9" defaultRowHeight="26.25" customHeight="1" x14ac:dyDescent="0.15"/>
  <cols>
    <col min="1" max="1" width="9" style="2"/>
    <col min="2" max="2" width="11.625" style="2" customWidth="1"/>
    <col min="3" max="3" width="12" style="2" customWidth="1"/>
    <col min="4" max="4" width="20.25" style="2" customWidth="1"/>
    <col min="5" max="5" width="13.625" style="2" customWidth="1"/>
    <col min="6" max="6" width="11.75" style="2" customWidth="1"/>
    <col min="7" max="7" width="13.5" style="2" customWidth="1"/>
    <col min="8" max="8" width="9.375" style="2" customWidth="1"/>
    <col min="9" max="11" width="9" style="2"/>
    <col min="12" max="12" width="5" style="2" customWidth="1"/>
    <col min="13" max="13" width="7.625" style="2" customWidth="1"/>
    <col min="14" max="14" width="12.5" style="2" customWidth="1"/>
    <col min="15" max="18" width="12" style="2" customWidth="1"/>
    <col min="19" max="19" width="3.5" style="2" customWidth="1"/>
    <col min="20" max="20" width="5.375" style="2" customWidth="1"/>
    <col min="21" max="21" width="14.125" style="2" customWidth="1"/>
    <col min="22" max="26" width="9" style="2"/>
    <col min="27" max="27" width="32.625" style="3" customWidth="1"/>
    <col min="28" max="16384" width="9" style="2"/>
  </cols>
  <sheetData>
    <row r="1" spans="1:27" ht="26.25" customHeight="1" x14ac:dyDescent="0.15">
      <c r="A1" s="328"/>
      <c r="B1" s="328"/>
      <c r="C1" s="328"/>
      <c r="D1" s="328"/>
      <c r="E1" s="328"/>
      <c r="F1" s="328"/>
      <c r="G1" s="328"/>
      <c r="H1" s="4"/>
      <c r="I1" s="4"/>
      <c r="J1"/>
      <c r="M1" s="40"/>
      <c r="N1" s="329" t="s">
        <v>22</v>
      </c>
      <c r="O1" s="329"/>
      <c r="P1" s="329"/>
      <c r="Q1" s="329"/>
      <c r="R1" s="329"/>
      <c r="S1" s="40"/>
      <c r="T1" s="40"/>
      <c r="U1" s="40"/>
      <c r="V1" s="40"/>
      <c r="W1" s="40"/>
      <c r="X1" s="40"/>
      <c r="Y1" s="40"/>
      <c r="Z1" s="40"/>
    </row>
    <row r="2" spans="1:27" ht="26.25" customHeight="1" x14ac:dyDescent="0.15">
      <c r="A2" s="330" t="s">
        <v>67</v>
      </c>
      <c r="B2" s="331"/>
      <c r="C2" s="331"/>
      <c r="D2" s="331"/>
      <c r="E2" s="331"/>
      <c r="F2" s="331"/>
      <c r="G2" s="332"/>
      <c r="H2" s="4"/>
      <c r="I2" s="4"/>
      <c r="J2"/>
      <c r="M2" s="333" t="s">
        <v>23</v>
      </c>
      <c r="N2" s="333"/>
      <c r="O2" s="41" t="s">
        <v>24</v>
      </c>
      <c r="P2" s="41" t="s">
        <v>15</v>
      </c>
      <c r="Q2" s="41" t="s">
        <v>16</v>
      </c>
      <c r="R2" s="41" t="s">
        <v>17</v>
      </c>
      <c r="S2" s="40"/>
      <c r="T2" s="333" t="s">
        <v>23</v>
      </c>
      <c r="U2" s="333"/>
      <c r="V2" s="41" t="s">
        <v>25</v>
      </c>
      <c r="W2" s="41" t="s">
        <v>24</v>
      </c>
      <c r="X2" s="41" t="s">
        <v>15</v>
      </c>
      <c r="Y2" s="41" t="s">
        <v>16</v>
      </c>
      <c r="Z2" s="41" t="s">
        <v>17</v>
      </c>
      <c r="AA2" s="56" t="s">
        <v>26</v>
      </c>
    </row>
    <row r="3" spans="1:27" ht="26.25" customHeight="1" x14ac:dyDescent="0.15">
      <c r="A3" s="334" t="s">
        <v>68</v>
      </c>
      <c r="B3" s="334"/>
      <c r="C3" s="334"/>
      <c r="D3" s="334"/>
      <c r="E3" s="334"/>
      <c r="F3" s="334"/>
      <c r="G3" s="334"/>
      <c r="H3" s="6"/>
      <c r="I3" s="4"/>
      <c r="J3"/>
      <c r="M3" s="333" t="s">
        <v>1</v>
      </c>
      <c r="N3" s="333"/>
      <c r="O3" s="32" t="s">
        <v>18</v>
      </c>
      <c r="P3" s="32" t="s">
        <v>18</v>
      </c>
      <c r="Q3" s="32" t="s">
        <v>18</v>
      </c>
      <c r="R3" s="32" t="s">
        <v>18</v>
      </c>
      <c r="S3" s="40"/>
      <c r="T3" s="333" t="s">
        <v>1</v>
      </c>
      <c r="U3" s="333"/>
      <c r="V3" s="2" t="s">
        <v>69</v>
      </c>
      <c r="W3" s="35" t="str">
        <f t="shared" ref="W3:Z5" si="0">O3</f>
        <v>住宅</v>
      </c>
      <c r="X3" s="35" t="str">
        <f t="shared" si="0"/>
        <v>住宅</v>
      </c>
      <c r="Y3" s="35" t="str">
        <f t="shared" si="0"/>
        <v>住宅</v>
      </c>
      <c r="Z3" s="35" t="str">
        <f t="shared" si="0"/>
        <v>住宅</v>
      </c>
    </row>
    <row r="4" spans="1:27" ht="30.75" customHeight="1" x14ac:dyDescent="0.15">
      <c r="A4" s="5" t="s">
        <v>1</v>
      </c>
      <c r="B4" s="5" t="s">
        <v>3</v>
      </c>
      <c r="C4" s="330" t="s">
        <v>70</v>
      </c>
      <c r="D4" s="332"/>
      <c r="E4" s="335" t="s">
        <v>71</v>
      </c>
      <c r="F4" s="336"/>
      <c r="G4" s="1" t="s">
        <v>72</v>
      </c>
      <c r="H4" s="6"/>
      <c r="I4" s="4"/>
      <c r="J4">
        <v>1500</v>
      </c>
      <c r="M4" s="333" t="s">
        <v>2</v>
      </c>
      <c r="N4" s="337"/>
      <c r="O4" s="33" t="e">
        <f>估价结果明细表!#REF!</f>
        <v>#REF!</v>
      </c>
      <c r="P4" s="33" t="s">
        <v>73</v>
      </c>
      <c r="Q4" s="33" t="s">
        <v>73</v>
      </c>
      <c r="R4" s="33" t="s">
        <v>73</v>
      </c>
      <c r="S4" s="40"/>
      <c r="T4" s="333" t="str">
        <f>M4</f>
        <v>坐落</v>
      </c>
      <c r="U4" s="333"/>
      <c r="V4" s="2" t="s">
        <v>69</v>
      </c>
      <c r="W4" s="35" t="e">
        <f t="shared" si="0"/>
        <v>#REF!</v>
      </c>
      <c r="X4" s="35" t="str">
        <f t="shared" si="0"/>
        <v>合川区南办处望鹿街383号</v>
      </c>
      <c r="Y4" s="35" t="str">
        <f t="shared" si="0"/>
        <v>合川区南办处望鹿街383号</v>
      </c>
      <c r="Z4" s="35" t="str">
        <f t="shared" si="0"/>
        <v>合川区南办处望鹿街383号</v>
      </c>
    </row>
    <row r="5" spans="1:27" ht="26.25" customHeight="1" x14ac:dyDescent="0.15">
      <c r="A5" s="7" t="s">
        <v>74</v>
      </c>
      <c r="B5" s="7" t="s">
        <v>75</v>
      </c>
      <c r="C5" s="338" t="s">
        <v>76</v>
      </c>
      <c r="D5" s="339"/>
      <c r="E5" s="338" t="s">
        <v>77</v>
      </c>
      <c r="F5" s="339"/>
      <c r="G5" s="7" t="s">
        <v>78</v>
      </c>
      <c r="H5" s="6"/>
      <c r="I5" s="4"/>
      <c r="J5"/>
      <c r="M5" s="333" t="s">
        <v>79</v>
      </c>
      <c r="N5" s="337"/>
      <c r="O5" s="42" t="s">
        <v>29</v>
      </c>
      <c r="P5" s="43">
        <v>13</v>
      </c>
      <c r="Q5" s="43">
        <v>14</v>
      </c>
      <c r="R5" s="43">
        <v>14</v>
      </c>
      <c r="S5" s="40"/>
      <c r="T5" s="333" t="str">
        <f>M5</f>
        <v>租赁价格（元/平方米.月）</v>
      </c>
      <c r="U5" s="333"/>
      <c r="V5" s="41">
        <v>1</v>
      </c>
      <c r="W5" s="41" t="str">
        <f t="shared" si="0"/>
        <v>待求</v>
      </c>
      <c r="X5" s="43">
        <f t="shared" si="0"/>
        <v>13</v>
      </c>
      <c r="Y5" s="43">
        <f t="shared" si="0"/>
        <v>14</v>
      </c>
      <c r="Z5" s="43">
        <f t="shared" si="0"/>
        <v>14</v>
      </c>
    </row>
    <row r="6" spans="1:27" ht="26.25" customHeight="1" x14ac:dyDescent="0.15">
      <c r="A6" s="5" t="s">
        <v>80</v>
      </c>
      <c r="B6" s="5" t="s">
        <v>69</v>
      </c>
      <c r="C6" s="334" t="s">
        <v>69</v>
      </c>
      <c r="D6" s="334"/>
      <c r="E6" s="340" t="s">
        <v>69</v>
      </c>
      <c r="F6" s="340"/>
      <c r="G6" s="1" t="s">
        <v>81</v>
      </c>
      <c r="H6" s="6"/>
      <c r="I6" s="4"/>
      <c r="J6"/>
      <c r="M6" s="333" t="s">
        <v>82</v>
      </c>
      <c r="N6" s="337"/>
      <c r="O6" s="42" t="s">
        <v>0</v>
      </c>
      <c r="P6" s="44">
        <v>43952</v>
      </c>
      <c r="Q6" s="44">
        <v>43953</v>
      </c>
      <c r="R6" s="44">
        <v>43954</v>
      </c>
      <c r="S6" s="40"/>
      <c r="T6" s="333" t="s">
        <v>82</v>
      </c>
      <c r="U6" s="333"/>
      <c r="V6" s="41">
        <v>1</v>
      </c>
      <c r="W6" s="53">
        <v>100</v>
      </c>
      <c r="X6" s="53">
        <v>100</v>
      </c>
      <c r="Y6" s="53">
        <v>100</v>
      </c>
      <c r="Z6" s="53">
        <v>100</v>
      </c>
      <c r="AA6" s="56"/>
    </row>
    <row r="7" spans="1:27" ht="26.25" customHeight="1" x14ac:dyDescent="0.15">
      <c r="A7" s="5" t="s">
        <v>83</v>
      </c>
      <c r="B7" s="5">
        <v>1</v>
      </c>
      <c r="C7" s="334">
        <v>14</v>
      </c>
      <c r="D7" s="334"/>
      <c r="E7" s="340">
        <v>0.04</v>
      </c>
      <c r="F7" s="340"/>
      <c r="G7" s="1">
        <f>B7*C7*12*(1-E7)</f>
        <v>161.28</v>
      </c>
      <c r="H7" s="6"/>
      <c r="I7" s="4"/>
      <c r="J7"/>
      <c r="M7" s="333" t="s">
        <v>19</v>
      </c>
      <c r="N7" s="337"/>
      <c r="O7" s="45" t="s">
        <v>31</v>
      </c>
      <c r="P7" s="46" t="s">
        <v>31</v>
      </c>
      <c r="Q7" s="46" t="s">
        <v>31</v>
      </c>
      <c r="R7" s="46" t="s">
        <v>31</v>
      </c>
      <c r="S7" s="40"/>
      <c r="T7" s="333" t="s">
        <v>19</v>
      </c>
      <c r="U7" s="333"/>
      <c r="V7" s="41">
        <v>1</v>
      </c>
      <c r="W7" s="41">
        <v>100</v>
      </c>
      <c r="X7" s="41">
        <v>100</v>
      </c>
      <c r="Y7" s="41">
        <v>100</v>
      </c>
      <c r="Z7" s="41">
        <v>100</v>
      </c>
      <c r="AA7" s="56"/>
    </row>
    <row r="8" spans="1:27" ht="26.25" customHeight="1" x14ac:dyDescent="0.15">
      <c r="A8" s="334" t="s">
        <v>84</v>
      </c>
      <c r="B8" s="334"/>
      <c r="C8" s="334"/>
      <c r="D8" s="334"/>
      <c r="E8" s="334"/>
      <c r="F8" s="334"/>
      <c r="G8" s="334"/>
      <c r="H8" s="6"/>
      <c r="I8" s="4"/>
      <c r="J8"/>
      <c r="M8" s="341" t="s">
        <v>8</v>
      </c>
      <c r="N8" s="47" t="s">
        <v>33</v>
      </c>
      <c r="O8" s="42" t="s">
        <v>34</v>
      </c>
      <c r="P8" s="42" t="s">
        <v>34</v>
      </c>
      <c r="Q8" s="42" t="s">
        <v>34</v>
      </c>
      <c r="R8" s="42" t="s">
        <v>34</v>
      </c>
      <c r="S8" s="40"/>
      <c r="T8" s="349" t="s">
        <v>32</v>
      </c>
      <c r="U8" s="35" t="s">
        <v>33</v>
      </c>
      <c r="V8" s="35">
        <v>0.1</v>
      </c>
      <c r="W8" s="41">
        <v>100</v>
      </c>
      <c r="X8" s="41">
        <v>100</v>
      </c>
      <c r="Y8" s="41">
        <v>100</v>
      </c>
      <c r="Z8" s="41">
        <v>100</v>
      </c>
      <c r="AA8" s="56" t="s">
        <v>85</v>
      </c>
    </row>
    <row r="9" spans="1:27" ht="26.25" customHeight="1" x14ac:dyDescent="0.15">
      <c r="A9" s="5" t="s">
        <v>1</v>
      </c>
      <c r="B9" s="5" t="s">
        <v>86</v>
      </c>
      <c r="C9" s="5" t="s">
        <v>87</v>
      </c>
      <c r="D9" s="5" t="s">
        <v>88</v>
      </c>
      <c r="E9" s="5" t="s">
        <v>89</v>
      </c>
      <c r="F9" s="334" t="s">
        <v>90</v>
      </c>
      <c r="G9" s="334"/>
      <c r="H9" s="6"/>
      <c r="I9" s="4"/>
      <c r="J9"/>
      <c r="M9" s="341"/>
      <c r="N9" s="47" t="s">
        <v>35</v>
      </c>
      <c r="O9" s="42" t="s">
        <v>34</v>
      </c>
      <c r="P9" s="42" t="s">
        <v>34</v>
      </c>
      <c r="Q9" s="42" t="s">
        <v>34</v>
      </c>
      <c r="R9" s="42" t="s">
        <v>34</v>
      </c>
      <c r="S9" s="40"/>
      <c r="T9" s="350"/>
      <c r="U9" s="35" t="s">
        <v>35</v>
      </c>
      <c r="V9" s="35">
        <v>0.05</v>
      </c>
      <c r="W9" s="41">
        <v>100</v>
      </c>
      <c r="X9" s="41">
        <v>100</v>
      </c>
      <c r="Y9" s="41">
        <v>100</v>
      </c>
      <c r="Z9" s="41">
        <v>100</v>
      </c>
      <c r="AA9" s="56" t="s">
        <v>85</v>
      </c>
    </row>
    <row r="10" spans="1:27" ht="26.25" customHeight="1" x14ac:dyDescent="0.15">
      <c r="A10" s="7" t="s">
        <v>74</v>
      </c>
      <c r="B10" s="7" t="s">
        <v>91</v>
      </c>
      <c r="C10" s="7" t="s">
        <v>92</v>
      </c>
      <c r="D10" s="7" t="s">
        <v>93</v>
      </c>
      <c r="E10" s="7" t="s">
        <v>94</v>
      </c>
      <c r="F10" s="342" t="s">
        <v>95</v>
      </c>
      <c r="G10" s="342"/>
      <c r="H10" s="6"/>
      <c r="I10" s="4"/>
      <c r="J10"/>
      <c r="M10" s="341"/>
      <c r="N10" s="47" t="s">
        <v>36</v>
      </c>
      <c r="O10" s="42" t="s">
        <v>34</v>
      </c>
      <c r="P10" s="42" t="s">
        <v>34</v>
      </c>
      <c r="Q10" s="42" t="s">
        <v>34</v>
      </c>
      <c r="R10" s="42" t="s">
        <v>34</v>
      </c>
      <c r="S10" s="40"/>
      <c r="T10" s="350"/>
      <c r="U10" s="35" t="s">
        <v>36</v>
      </c>
      <c r="V10" s="35">
        <v>0.1</v>
      </c>
      <c r="W10" s="41">
        <v>100</v>
      </c>
      <c r="X10" s="41">
        <v>100</v>
      </c>
      <c r="Y10" s="41">
        <v>100</v>
      </c>
      <c r="Z10" s="41">
        <v>100</v>
      </c>
      <c r="AA10" s="56" t="s">
        <v>85</v>
      </c>
    </row>
    <row r="11" spans="1:27" ht="26.25" customHeight="1" x14ac:dyDescent="0.15">
      <c r="A11" s="5" t="s">
        <v>80</v>
      </c>
      <c r="B11" s="9" t="s">
        <v>96</v>
      </c>
      <c r="C11" s="5" t="s">
        <v>97</v>
      </c>
      <c r="D11" s="5" t="s">
        <v>98</v>
      </c>
      <c r="E11" s="5" t="s">
        <v>99</v>
      </c>
      <c r="F11" s="334" t="s">
        <v>100</v>
      </c>
      <c r="G11" s="334"/>
      <c r="H11" s="6"/>
      <c r="I11" s="4"/>
      <c r="J11"/>
      <c r="M11" s="341"/>
      <c r="N11" s="47" t="s">
        <v>37</v>
      </c>
      <c r="O11" s="33" t="s">
        <v>101</v>
      </c>
      <c r="P11" s="33" t="s">
        <v>101</v>
      </c>
      <c r="Q11" s="33" t="s">
        <v>101</v>
      </c>
      <c r="R11" s="33" t="s">
        <v>101</v>
      </c>
      <c r="S11" s="40"/>
      <c r="T11" s="350"/>
      <c r="U11" s="35" t="s">
        <v>37</v>
      </c>
      <c r="V11" s="35">
        <v>0.1</v>
      </c>
      <c r="W11" s="41">
        <v>100</v>
      </c>
      <c r="X11" s="41">
        <v>100</v>
      </c>
      <c r="Y11" s="41">
        <v>100</v>
      </c>
      <c r="Z11" s="41">
        <v>100</v>
      </c>
      <c r="AA11" s="56" t="s">
        <v>85</v>
      </c>
    </row>
    <row r="12" spans="1:27" ht="26.25" customHeight="1" x14ac:dyDescent="0.15">
      <c r="A12" s="5" t="s">
        <v>83</v>
      </c>
      <c r="B12" s="5">
        <f>G7/(1+0.05)*0.176</f>
        <v>27.033599999999996</v>
      </c>
      <c r="C12" s="5">
        <f>G7*0.01</f>
        <v>1.6128</v>
      </c>
      <c r="D12" s="5">
        <f>J4*0.01</f>
        <v>15</v>
      </c>
      <c r="E12" s="5">
        <f>J4*0.002</f>
        <v>3</v>
      </c>
      <c r="F12" s="334">
        <f>SUM(B12:E12)</f>
        <v>46.6464</v>
      </c>
      <c r="G12" s="334"/>
      <c r="H12" s="4"/>
      <c r="I12" s="48"/>
      <c r="J12"/>
      <c r="M12" s="341"/>
      <c r="N12" s="47" t="s">
        <v>38</v>
      </c>
      <c r="O12" s="42" t="s">
        <v>34</v>
      </c>
      <c r="P12" s="42" t="s">
        <v>34</v>
      </c>
      <c r="Q12" s="42" t="s">
        <v>34</v>
      </c>
      <c r="R12" s="42" t="s">
        <v>34</v>
      </c>
      <c r="S12" s="40"/>
      <c r="T12" s="350"/>
      <c r="U12" s="35" t="s">
        <v>38</v>
      </c>
      <c r="V12" s="35">
        <v>0.1</v>
      </c>
      <c r="W12" s="41">
        <v>100</v>
      </c>
      <c r="X12" s="41">
        <v>100</v>
      </c>
      <c r="Y12" s="41">
        <v>100</v>
      </c>
      <c r="Z12" s="41">
        <v>100</v>
      </c>
      <c r="AA12" s="56" t="s">
        <v>102</v>
      </c>
    </row>
    <row r="13" spans="1:27" ht="26.25" customHeight="1" x14ac:dyDescent="0.15">
      <c r="A13" s="334" t="s">
        <v>103</v>
      </c>
      <c r="B13" s="334"/>
      <c r="C13" s="334"/>
      <c r="D13" s="334"/>
      <c r="E13" s="334"/>
      <c r="F13" s="334"/>
      <c r="G13" s="334"/>
      <c r="H13" s="4"/>
      <c r="I13" s="48"/>
      <c r="J13"/>
      <c r="M13" s="341"/>
      <c r="N13" s="47" t="s">
        <v>39</v>
      </c>
      <c r="O13" s="42" t="s">
        <v>40</v>
      </c>
      <c r="P13" s="42" t="s">
        <v>40</v>
      </c>
      <c r="Q13" s="42" t="s">
        <v>40</v>
      </c>
      <c r="R13" s="42" t="s">
        <v>40</v>
      </c>
      <c r="S13" s="40"/>
      <c r="T13" s="350"/>
      <c r="U13" s="35" t="s">
        <v>39</v>
      </c>
      <c r="V13" s="35">
        <v>0.1</v>
      </c>
      <c r="W13" s="41">
        <v>100</v>
      </c>
      <c r="X13" s="41">
        <v>100</v>
      </c>
      <c r="Y13" s="41">
        <v>100</v>
      </c>
      <c r="Z13" s="41">
        <v>100</v>
      </c>
      <c r="AA13" s="56" t="s">
        <v>85</v>
      </c>
    </row>
    <row r="14" spans="1:27" ht="26.25" customHeight="1" x14ac:dyDescent="0.15">
      <c r="A14" s="5" t="s">
        <v>1</v>
      </c>
      <c r="B14" s="334" t="s">
        <v>104</v>
      </c>
      <c r="C14" s="334"/>
      <c r="D14" s="334" t="s">
        <v>90</v>
      </c>
      <c r="E14" s="334"/>
      <c r="F14" s="334" t="s">
        <v>105</v>
      </c>
      <c r="G14" s="334"/>
      <c r="H14" s="4"/>
      <c r="I14" s="4"/>
      <c r="J14"/>
      <c r="M14" s="341"/>
      <c r="N14" s="47" t="s">
        <v>41</v>
      </c>
      <c r="O14" s="42" t="s">
        <v>40</v>
      </c>
      <c r="P14" s="42" t="s">
        <v>40</v>
      </c>
      <c r="Q14" s="42" t="s">
        <v>40</v>
      </c>
      <c r="R14" s="42" t="s">
        <v>40</v>
      </c>
      <c r="S14" s="40"/>
      <c r="T14" s="350"/>
      <c r="U14" s="35" t="s">
        <v>41</v>
      </c>
      <c r="V14" s="35">
        <v>0.1</v>
      </c>
      <c r="W14" s="41">
        <v>100</v>
      </c>
      <c r="X14" s="41">
        <v>100</v>
      </c>
      <c r="Y14" s="41">
        <v>100</v>
      </c>
      <c r="Z14" s="41">
        <v>100</v>
      </c>
      <c r="AA14" s="56" t="s">
        <v>85</v>
      </c>
    </row>
    <row r="15" spans="1:27" ht="26.25" customHeight="1" x14ac:dyDescent="0.15">
      <c r="A15" s="7" t="s">
        <v>74</v>
      </c>
      <c r="B15" s="342" t="s">
        <v>78</v>
      </c>
      <c r="C15" s="342"/>
      <c r="D15" s="342" t="s">
        <v>95</v>
      </c>
      <c r="E15" s="342"/>
      <c r="F15" s="342" t="s">
        <v>106</v>
      </c>
      <c r="G15" s="342"/>
      <c r="H15" s="4"/>
      <c r="I15" s="4"/>
      <c r="J15"/>
      <c r="M15" s="341"/>
      <c r="N15" s="47" t="s">
        <v>42</v>
      </c>
      <c r="O15" s="42" t="s">
        <v>34</v>
      </c>
      <c r="P15" s="42" t="s">
        <v>34</v>
      </c>
      <c r="Q15" s="42" t="s">
        <v>34</v>
      </c>
      <c r="R15" s="42" t="s">
        <v>34</v>
      </c>
      <c r="S15" s="40"/>
      <c r="T15" s="350"/>
      <c r="U15" s="35" t="s">
        <v>42</v>
      </c>
      <c r="V15" s="35">
        <v>0.1</v>
      </c>
      <c r="W15" s="41">
        <v>100</v>
      </c>
      <c r="X15" s="41">
        <v>100</v>
      </c>
      <c r="Y15" s="41">
        <v>100</v>
      </c>
      <c r="Z15" s="41">
        <v>100</v>
      </c>
      <c r="AA15" s="56" t="s">
        <v>85</v>
      </c>
    </row>
    <row r="16" spans="1:27" ht="26.25" customHeight="1" x14ac:dyDescent="0.15">
      <c r="A16" s="5" t="s">
        <v>83</v>
      </c>
      <c r="B16" s="334">
        <f>G7</f>
        <v>161.28</v>
      </c>
      <c r="C16" s="334"/>
      <c r="D16" s="334">
        <f>F12</f>
        <v>46.6464</v>
      </c>
      <c r="E16" s="334"/>
      <c r="F16" s="334">
        <f>B16-D16</f>
        <v>114.6336</v>
      </c>
      <c r="G16" s="334"/>
      <c r="H16" s="4"/>
      <c r="I16" s="4"/>
      <c r="J16"/>
      <c r="M16" s="341"/>
      <c r="N16" s="47" t="s">
        <v>43</v>
      </c>
      <c r="O16" s="42" t="s">
        <v>18</v>
      </c>
      <c r="P16" s="42" t="s">
        <v>18</v>
      </c>
      <c r="Q16" s="42" t="s">
        <v>18</v>
      </c>
      <c r="R16" s="42" t="s">
        <v>18</v>
      </c>
      <c r="S16" s="40"/>
      <c r="T16" s="350"/>
      <c r="U16" s="46" t="s">
        <v>43</v>
      </c>
      <c r="V16" s="46">
        <v>0.05</v>
      </c>
      <c r="W16" s="41">
        <v>100</v>
      </c>
      <c r="X16" s="41">
        <v>100</v>
      </c>
      <c r="Y16" s="41">
        <v>100</v>
      </c>
      <c r="Z16" s="41">
        <v>100</v>
      </c>
      <c r="AA16" s="56" t="s">
        <v>102</v>
      </c>
    </row>
    <row r="17" spans="1:27" ht="24" x14ac:dyDescent="0.15">
      <c r="A17" s="5" t="s">
        <v>80</v>
      </c>
      <c r="B17" s="334" t="s">
        <v>107</v>
      </c>
      <c r="C17" s="334"/>
      <c r="D17" s="334"/>
      <c r="E17" s="334"/>
      <c r="F17" s="334"/>
      <c r="G17" s="334"/>
      <c r="H17" s="4"/>
      <c r="I17" s="4"/>
      <c r="J17"/>
      <c r="M17" s="341"/>
      <c r="N17" s="47" t="s">
        <v>13</v>
      </c>
      <c r="O17" s="34" t="s">
        <v>108</v>
      </c>
      <c r="P17" s="34" t="s">
        <v>109</v>
      </c>
      <c r="Q17" s="34" t="s">
        <v>110</v>
      </c>
      <c r="R17" s="34" t="s">
        <v>111</v>
      </c>
      <c r="S17" s="40"/>
      <c r="T17" s="350"/>
      <c r="U17" s="46" t="s">
        <v>13</v>
      </c>
      <c r="V17" s="46">
        <v>0.1</v>
      </c>
      <c r="W17" s="41">
        <v>100</v>
      </c>
      <c r="X17" s="41">
        <v>104</v>
      </c>
      <c r="Y17" s="41">
        <v>102</v>
      </c>
      <c r="Z17" s="41">
        <v>107</v>
      </c>
      <c r="AA17" s="56" t="s">
        <v>102</v>
      </c>
    </row>
    <row r="18" spans="1:27" ht="26.25" customHeight="1" x14ac:dyDescent="0.15">
      <c r="A18" s="334" t="s">
        <v>112</v>
      </c>
      <c r="B18" s="343"/>
      <c r="C18" s="343"/>
      <c r="D18" s="343"/>
      <c r="E18" s="343"/>
      <c r="F18" s="343"/>
      <c r="G18" s="343"/>
      <c r="H18" s="4"/>
      <c r="I18" s="4"/>
      <c r="J18"/>
      <c r="M18" s="341"/>
      <c r="N18" s="47" t="s">
        <v>44</v>
      </c>
      <c r="O18" s="49" t="s">
        <v>113</v>
      </c>
      <c r="P18" s="49" t="s">
        <v>113</v>
      </c>
      <c r="Q18" s="49" t="s">
        <v>113</v>
      </c>
      <c r="R18" s="49" t="s">
        <v>113</v>
      </c>
      <c r="S18" s="40"/>
      <c r="T18" s="350"/>
      <c r="U18" s="46" t="s">
        <v>44</v>
      </c>
      <c r="V18" s="46">
        <v>0.1</v>
      </c>
      <c r="W18" s="41">
        <v>100</v>
      </c>
      <c r="X18" s="41">
        <v>100</v>
      </c>
      <c r="Y18" s="41">
        <v>100</v>
      </c>
      <c r="Z18" s="41">
        <v>100</v>
      </c>
      <c r="AA18" s="56" t="s">
        <v>114</v>
      </c>
    </row>
    <row r="19" spans="1:27" ht="26.25" customHeight="1" x14ac:dyDescent="0.15">
      <c r="A19" s="5" t="s">
        <v>1</v>
      </c>
      <c r="B19" s="1" t="s">
        <v>115</v>
      </c>
      <c r="C19" s="1" t="s">
        <v>116</v>
      </c>
      <c r="D19" s="1" t="s">
        <v>117</v>
      </c>
      <c r="E19" s="1" t="s">
        <v>118</v>
      </c>
      <c r="F19" s="1" t="s">
        <v>119</v>
      </c>
      <c r="G19" s="1" t="s">
        <v>120</v>
      </c>
      <c r="H19" s="4"/>
      <c r="I19" s="4"/>
      <c r="J19"/>
      <c r="M19" s="341" t="s">
        <v>47</v>
      </c>
      <c r="N19" s="47" t="s">
        <v>48</v>
      </c>
      <c r="O19" s="42" t="s">
        <v>121</v>
      </c>
      <c r="P19" s="42" t="s">
        <v>121</v>
      </c>
      <c r="Q19" s="42" t="s">
        <v>121</v>
      </c>
      <c r="R19" s="42" t="s">
        <v>121</v>
      </c>
      <c r="S19" s="40"/>
      <c r="T19" s="351"/>
      <c r="U19" s="46" t="s">
        <v>46</v>
      </c>
      <c r="V19" s="46">
        <v>1</v>
      </c>
      <c r="W19" s="41">
        <f>ROUND($V$8*W8+$V$9*W9+$V$10*W10+$V$11*W11+$V$12*W12+$V$13*W13+$V$14*W14+$V$15*W15+$V$16*W16+$V$17*W17+$V$18*W18,1)</f>
        <v>100</v>
      </c>
      <c r="X19" s="41">
        <f>ROUND($V$8*X8+$V$9*X9+$V$10*X10+$V$11*X11+$V$12*X12+$V$13*X13+$V$14*X14+$V$15*X15+$V$16*X16+$V$17*X17+$V$18*X18,1)</f>
        <v>100.4</v>
      </c>
      <c r="Y19" s="41">
        <f>ROUND($V$8*Y8+$V$9*Y9+$V$10*Y10+$V$11*Y11+$V$12*Y12+$V$13*Y13+$V$14*Y14+$V$15*Y15+$V$16*Y16+$V$17*Y17+$V$18*Y18,1)</f>
        <v>100.2</v>
      </c>
      <c r="Z19" s="41">
        <f>ROUND($V$8*Z8+$V$9*Z9+$V$10*Z10+$V$11*Z11+$V$12*Z12+$V$13*Z13+$V$14*Z14+$V$15*Z15+$V$16*Z16+$V$17*Z17+$V$18*Z18,1)</f>
        <v>100.7</v>
      </c>
      <c r="AA19" s="57" t="s">
        <v>69</v>
      </c>
    </row>
    <row r="20" spans="1:27" ht="26.25" customHeight="1" x14ac:dyDescent="0.15">
      <c r="A20" s="7" t="s">
        <v>74</v>
      </c>
      <c r="B20" s="7" t="s">
        <v>122</v>
      </c>
      <c r="C20" s="7" t="s">
        <v>123</v>
      </c>
      <c r="D20" s="7" t="s">
        <v>124</v>
      </c>
      <c r="E20" s="7" t="s">
        <v>125</v>
      </c>
      <c r="F20" s="7" t="s">
        <v>126</v>
      </c>
      <c r="G20" s="7" t="s">
        <v>127</v>
      </c>
      <c r="H20" s="4"/>
      <c r="I20" s="4"/>
      <c r="J20"/>
      <c r="M20" s="341"/>
      <c r="N20" s="47" t="s">
        <v>21</v>
      </c>
      <c r="O20" s="42">
        <v>5.8</v>
      </c>
      <c r="P20" s="42">
        <v>5.8</v>
      </c>
      <c r="Q20" s="42">
        <v>5.8</v>
      </c>
      <c r="R20" s="42">
        <v>5.8</v>
      </c>
      <c r="S20" s="40"/>
      <c r="T20" s="349" t="s">
        <v>49</v>
      </c>
      <c r="U20" s="35" t="s">
        <v>48</v>
      </c>
      <c r="V20" s="35">
        <v>0.1</v>
      </c>
      <c r="W20" s="41">
        <v>100</v>
      </c>
      <c r="X20" s="41">
        <v>100</v>
      </c>
      <c r="Y20" s="41">
        <v>100</v>
      </c>
      <c r="Z20" s="41">
        <v>100</v>
      </c>
      <c r="AA20" s="56" t="s">
        <v>102</v>
      </c>
    </row>
    <row r="21" spans="1:27" ht="26.25" customHeight="1" x14ac:dyDescent="0.15">
      <c r="A21" s="5" t="s">
        <v>80</v>
      </c>
      <c r="B21" s="1" t="s">
        <v>69</v>
      </c>
      <c r="C21" s="1" t="s">
        <v>69</v>
      </c>
      <c r="D21" s="10" t="s">
        <v>128</v>
      </c>
      <c r="E21" s="11" t="s">
        <v>129</v>
      </c>
      <c r="F21" s="1"/>
      <c r="G21" s="1" t="s">
        <v>130</v>
      </c>
      <c r="H21" s="12"/>
      <c r="I21" s="4"/>
      <c r="J21"/>
      <c r="M21" s="341"/>
      <c r="N21" s="47" t="s">
        <v>50</v>
      </c>
      <c r="O21" s="42" t="s">
        <v>131</v>
      </c>
      <c r="P21" s="42" t="s">
        <v>131</v>
      </c>
      <c r="Q21" s="42" t="s">
        <v>131</v>
      </c>
      <c r="R21" s="42" t="s">
        <v>131</v>
      </c>
      <c r="S21" s="40"/>
      <c r="T21" s="350"/>
      <c r="U21" s="35" t="str">
        <f>N20</f>
        <v>层高（米）</v>
      </c>
      <c r="V21" s="35">
        <v>0.1</v>
      </c>
      <c r="W21" s="41">
        <v>100</v>
      </c>
      <c r="X21" s="41">
        <v>100</v>
      </c>
      <c r="Y21" s="41">
        <v>100</v>
      </c>
      <c r="Z21" s="41">
        <v>100</v>
      </c>
      <c r="AA21" s="56" t="s">
        <v>102</v>
      </c>
    </row>
    <row r="22" spans="1:27" ht="26.25" customHeight="1" x14ac:dyDescent="0.15">
      <c r="A22" s="5" t="s">
        <v>83</v>
      </c>
      <c r="B22" s="13">
        <v>0.1</v>
      </c>
      <c r="C22" s="14">
        <v>10</v>
      </c>
      <c r="D22" s="8">
        <v>5.5E-2</v>
      </c>
      <c r="E22" s="1" t="e">
        <f>估价结果明细表!#REF!</f>
        <v>#REF!</v>
      </c>
      <c r="F22" s="15" t="e">
        <f>ROUND(1/(D22-B22)*(1-((1+B22)/(1+D22))^C22)+(1+B22)^(C22-1)/D22*(1-1/(1+D22)^(E22-C22))/(1+D22)^C22,4)</f>
        <v>#REF!</v>
      </c>
      <c r="G22" s="1" t="e">
        <f>ROUND(F16*F22,-2)</f>
        <v>#REF!</v>
      </c>
      <c r="H22" s="12"/>
      <c r="I22"/>
      <c r="J22"/>
      <c r="M22" s="341"/>
      <c r="N22" s="47" t="s">
        <v>10</v>
      </c>
      <c r="O22" s="42" t="s">
        <v>20</v>
      </c>
      <c r="P22" s="42" t="s">
        <v>20</v>
      </c>
      <c r="Q22" s="42" t="s">
        <v>20</v>
      </c>
      <c r="R22" s="42" t="s">
        <v>20</v>
      </c>
      <c r="S22" s="40"/>
      <c r="T22" s="350"/>
      <c r="U22" s="35" t="s">
        <v>50</v>
      </c>
      <c r="V22" s="35">
        <v>0.1</v>
      </c>
      <c r="W22" s="41">
        <v>100</v>
      </c>
      <c r="X22" s="41">
        <v>100</v>
      </c>
      <c r="Y22" s="41">
        <v>100</v>
      </c>
      <c r="Z22" s="41">
        <v>100</v>
      </c>
      <c r="AA22" s="56" t="s">
        <v>102</v>
      </c>
    </row>
    <row r="23" spans="1:27" ht="26.25" customHeight="1" x14ac:dyDescent="0.15">
      <c r="A23" s="16"/>
      <c r="B23" s="16"/>
      <c r="C23" s="16"/>
      <c r="D23" s="16"/>
      <c r="E23" s="16"/>
      <c r="F23" s="344"/>
      <c r="G23" s="344"/>
      <c r="H23" s="344"/>
      <c r="I23"/>
      <c r="J23"/>
      <c r="M23" s="341"/>
      <c r="N23" s="47" t="s">
        <v>51</v>
      </c>
      <c r="O23" s="42" t="s">
        <v>52</v>
      </c>
      <c r="P23" s="42" t="s">
        <v>52</v>
      </c>
      <c r="Q23" s="42" t="s">
        <v>52</v>
      </c>
      <c r="R23" s="42" t="s">
        <v>52</v>
      </c>
      <c r="S23" s="40"/>
      <c r="T23" s="350"/>
      <c r="U23" s="35" t="s">
        <v>10</v>
      </c>
      <c r="V23" s="35">
        <v>0.2</v>
      </c>
      <c r="W23" s="41">
        <v>100</v>
      </c>
      <c r="X23" s="41">
        <v>100</v>
      </c>
      <c r="Y23" s="41">
        <v>100</v>
      </c>
      <c r="Z23" s="41">
        <v>100</v>
      </c>
      <c r="AA23" s="56" t="s">
        <v>132</v>
      </c>
    </row>
    <row r="24" spans="1:27" ht="37.5" customHeight="1" x14ac:dyDescent="0.15">
      <c r="A24" s="17"/>
      <c r="B24" s="17"/>
      <c r="C24" s="17" t="s">
        <v>133</v>
      </c>
      <c r="D24" s="18" t="s">
        <v>134</v>
      </c>
      <c r="E24" s="17"/>
      <c r="F24" s="17"/>
      <c r="G24" s="17"/>
      <c r="H24"/>
      <c r="I24"/>
      <c r="J24"/>
      <c r="M24" s="341"/>
      <c r="N24" s="47" t="s">
        <v>9</v>
      </c>
      <c r="O24" s="42" t="s">
        <v>53</v>
      </c>
      <c r="P24" s="42" t="s">
        <v>53</v>
      </c>
      <c r="Q24" s="42" t="s">
        <v>53</v>
      </c>
      <c r="R24" s="42" t="s">
        <v>53</v>
      </c>
      <c r="S24" s="40"/>
      <c r="T24" s="350"/>
      <c r="U24" s="35" t="s">
        <v>51</v>
      </c>
      <c r="V24" s="35">
        <v>0.1</v>
      </c>
      <c r="W24" s="41">
        <v>100</v>
      </c>
      <c r="X24" s="41">
        <v>100</v>
      </c>
      <c r="Y24" s="41">
        <v>100</v>
      </c>
      <c r="Z24" s="41">
        <v>100</v>
      </c>
      <c r="AA24" s="56" t="s">
        <v>135</v>
      </c>
    </row>
    <row r="25" spans="1:27" ht="26.25" customHeight="1" x14ac:dyDescent="0.15">
      <c r="A25" s="19"/>
      <c r="B25"/>
      <c r="C25" s="20"/>
      <c r="D25" s="21"/>
      <c r="E25" s="22"/>
      <c r="F25" s="21"/>
      <c r="G25" s="23"/>
      <c r="H25"/>
      <c r="I25"/>
      <c r="J25"/>
      <c r="M25" s="341"/>
      <c r="N25" s="47" t="s">
        <v>54</v>
      </c>
      <c r="O25" s="42" t="s">
        <v>45</v>
      </c>
      <c r="P25" s="42" t="s">
        <v>45</v>
      </c>
      <c r="Q25" s="42" t="s">
        <v>45</v>
      </c>
      <c r="R25" s="42" t="s">
        <v>45</v>
      </c>
      <c r="S25" s="40"/>
      <c r="T25" s="350"/>
      <c r="U25" s="35" t="s">
        <v>9</v>
      </c>
      <c r="V25" s="35">
        <v>0.1</v>
      </c>
      <c r="W25" s="41">
        <v>100</v>
      </c>
      <c r="X25" s="41">
        <v>100</v>
      </c>
      <c r="Y25" s="41">
        <v>100</v>
      </c>
      <c r="Z25" s="41">
        <v>100</v>
      </c>
      <c r="AA25" s="56" t="s">
        <v>85</v>
      </c>
    </row>
    <row r="26" spans="1:27" ht="26.25" customHeight="1" x14ac:dyDescent="0.15">
      <c r="A26"/>
      <c r="B26"/>
      <c r="C26"/>
      <c r="D26"/>
      <c r="E26"/>
      <c r="F26"/>
      <c r="G26"/>
      <c r="H26"/>
      <c r="I26"/>
      <c r="J26"/>
      <c r="M26" s="341"/>
      <c r="N26" s="47" t="s">
        <v>136</v>
      </c>
      <c r="O26" s="36" t="e">
        <f>估价结果明细表!#REF!</f>
        <v>#REF!</v>
      </c>
      <c r="P26" s="36">
        <v>88</v>
      </c>
      <c r="Q26" s="36">
        <v>90</v>
      </c>
      <c r="R26" s="36">
        <v>90</v>
      </c>
      <c r="S26" s="40"/>
      <c r="T26" s="350"/>
      <c r="U26" s="35" t="s">
        <v>54</v>
      </c>
      <c r="V26" s="35">
        <v>0.1</v>
      </c>
      <c r="W26" s="41">
        <v>100</v>
      </c>
      <c r="X26" s="41">
        <v>100</v>
      </c>
      <c r="Y26" s="41">
        <v>100</v>
      </c>
      <c r="Z26" s="41">
        <v>100</v>
      </c>
      <c r="AA26" s="56" t="s">
        <v>102</v>
      </c>
    </row>
    <row r="27" spans="1:27" ht="26.25" customHeight="1" x14ac:dyDescent="0.15">
      <c r="A27"/>
      <c r="B27" s="24"/>
      <c r="C27"/>
      <c r="D27"/>
      <c r="E27" s="25"/>
      <c r="F27" s="25"/>
      <c r="G27"/>
      <c r="H27"/>
      <c r="I27"/>
      <c r="J27"/>
      <c r="M27" s="341"/>
      <c r="N27" s="47" t="s">
        <v>137</v>
      </c>
      <c r="O27" s="34" t="s">
        <v>138</v>
      </c>
      <c r="P27" s="34" t="s">
        <v>138</v>
      </c>
      <c r="Q27" s="34" t="s">
        <v>138</v>
      </c>
      <c r="R27" s="34" t="s">
        <v>138</v>
      </c>
      <c r="S27" s="40"/>
      <c r="T27" s="350"/>
      <c r="U27" s="47" t="s">
        <v>136</v>
      </c>
      <c r="V27" s="35">
        <v>0.1</v>
      </c>
      <c r="W27" s="41">
        <v>100</v>
      </c>
      <c r="X27" s="41">
        <v>105</v>
      </c>
      <c r="Y27" s="41">
        <v>105</v>
      </c>
      <c r="Z27" s="41">
        <v>105</v>
      </c>
      <c r="AA27" s="56" t="s">
        <v>85</v>
      </c>
    </row>
    <row r="28" spans="1:27" ht="26.25" customHeight="1" x14ac:dyDescent="0.15">
      <c r="A28"/>
      <c r="B28" s="24"/>
      <c r="C28" s="24"/>
      <c r="D28"/>
      <c r="E28" s="26"/>
      <c r="F28" s="27"/>
      <c r="G28"/>
      <c r="H28"/>
      <c r="I28"/>
      <c r="J28"/>
      <c r="M28" s="341" t="s">
        <v>4</v>
      </c>
      <c r="N28" s="46" t="s">
        <v>5</v>
      </c>
      <c r="O28" s="50" t="s">
        <v>139</v>
      </c>
      <c r="P28" s="50" t="s">
        <v>139</v>
      </c>
      <c r="Q28" s="50" t="s">
        <v>139</v>
      </c>
      <c r="R28" s="50" t="s">
        <v>139</v>
      </c>
      <c r="S28" s="40"/>
      <c r="T28" s="350"/>
      <c r="U28" s="47" t="s">
        <v>137</v>
      </c>
      <c r="V28" s="35">
        <v>0.1</v>
      </c>
      <c r="W28" s="41">
        <v>100</v>
      </c>
      <c r="X28" s="41">
        <v>100</v>
      </c>
      <c r="Y28" s="41">
        <v>100</v>
      </c>
      <c r="Z28" s="41">
        <v>100</v>
      </c>
      <c r="AA28" s="56" t="s">
        <v>102</v>
      </c>
    </row>
    <row r="29" spans="1:27" ht="26.25" customHeight="1" x14ac:dyDescent="0.15">
      <c r="A29"/>
      <c r="B29"/>
      <c r="C29"/>
      <c r="D29" s="28"/>
      <c r="E29"/>
      <c r="F29"/>
      <c r="G29" s="25"/>
      <c r="H29" s="25"/>
      <c r="I29"/>
      <c r="J29"/>
      <c r="M29" s="341"/>
      <c r="N29" s="46" t="s">
        <v>140</v>
      </c>
      <c r="O29" s="42" t="s">
        <v>27</v>
      </c>
      <c r="P29" s="46" t="s">
        <v>141</v>
      </c>
      <c r="Q29" s="46" t="s">
        <v>141</v>
      </c>
      <c r="R29" s="46" t="s">
        <v>141</v>
      </c>
      <c r="S29" s="40"/>
      <c r="T29" s="351"/>
      <c r="U29" s="46" t="s">
        <v>56</v>
      </c>
      <c r="V29" s="35">
        <f>SUM(V20:V28)</f>
        <v>0.99999999999999989</v>
      </c>
      <c r="W29" s="41">
        <f>ROUND($V$20*W20+$V$21*W21+$V$22*W22+$V$23*W23+$V$24*W24+$V$25*W25+$V$26*W26+$V$27*W27+$V$28*W28,1)</f>
        <v>100</v>
      </c>
      <c r="X29" s="41">
        <f>ROUND($V$20*X20+$V$21*X21+$V$22*X22+$V$23*X23+$V$24*X24+$V$25*X25+$V$26*X26+$V$27*X27+$V$28*X28,1)</f>
        <v>100.5</v>
      </c>
      <c r="Y29" s="41">
        <f>ROUND($V$20*Y20+$V$21*Y21+$V$22*Y22+$V$23*Y23+$V$24*Y24+$V$25*Y25+$V$26*Y26+$V$27*Y27+$V$28*Y28,1)</f>
        <v>100.5</v>
      </c>
      <c r="Z29" s="41">
        <f>ROUND($V$20*Z20+$V$21*Z21+$V$22*Z22+$V$23*Z23+$V$24*Z24+$V$25*Z25+$V$26*Z26+$V$27*Z27+$V$28*Z28,1)</f>
        <v>100.5</v>
      </c>
      <c r="AA29" s="57" t="s">
        <v>69</v>
      </c>
    </row>
    <row r="30" spans="1:27" ht="39" customHeight="1" x14ac:dyDescent="0.15">
      <c r="D30" s="29"/>
      <c r="G30" s="26"/>
      <c r="H30" s="27"/>
      <c r="M30" s="341"/>
      <c r="N30" s="46" t="s">
        <v>59</v>
      </c>
      <c r="O30" s="42" t="s">
        <v>60</v>
      </c>
      <c r="P30" s="46" t="s">
        <v>142</v>
      </c>
      <c r="Q30" s="46" t="s">
        <v>142</v>
      </c>
      <c r="R30" s="46" t="s">
        <v>143</v>
      </c>
      <c r="S30" s="40"/>
      <c r="T30" s="352" t="s">
        <v>58</v>
      </c>
      <c r="U30" s="54" t="s">
        <v>5</v>
      </c>
      <c r="V30" s="54">
        <v>0.3</v>
      </c>
      <c r="W30" s="42">
        <v>100</v>
      </c>
      <c r="X30" s="42">
        <v>100</v>
      </c>
      <c r="Y30" s="42">
        <v>100</v>
      </c>
      <c r="Z30" s="42">
        <v>100</v>
      </c>
      <c r="AA30" s="58" t="s">
        <v>102</v>
      </c>
    </row>
    <row r="31" spans="1:27" ht="26.25" customHeight="1" x14ac:dyDescent="0.15">
      <c r="A31" s="30"/>
      <c r="B31" s="30"/>
      <c r="C31" s="30"/>
      <c r="D31" s="30"/>
      <c r="E31" s="30"/>
      <c r="F31" s="30"/>
      <c r="G31" s="30"/>
      <c r="H31" s="30"/>
      <c r="I31" s="30"/>
      <c r="M31" s="341"/>
      <c r="N31" s="46" t="s">
        <v>61</v>
      </c>
      <c r="O31" s="42" t="s">
        <v>144</v>
      </c>
      <c r="P31" s="42" t="s">
        <v>60</v>
      </c>
      <c r="Q31" s="42" t="s">
        <v>60</v>
      </c>
      <c r="R31" s="42" t="s">
        <v>60</v>
      </c>
      <c r="S31" s="40"/>
      <c r="T31" s="353"/>
      <c r="U31" s="54" t="s">
        <v>57</v>
      </c>
      <c r="V31" s="54">
        <v>0.3</v>
      </c>
      <c r="W31" s="42">
        <v>100</v>
      </c>
      <c r="X31" s="42">
        <v>100</v>
      </c>
      <c r="Y31" s="42">
        <v>100</v>
      </c>
      <c r="Z31" s="42">
        <v>100</v>
      </c>
      <c r="AA31" s="58" t="s">
        <v>85</v>
      </c>
    </row>
    <row r="32" spans="1:27" ht="26.25" customHeight="1" x14ac:dyDescent="0.15">
      <c r="B32" s="31" t="s">
        <v>145</v>
      </c>
      <c r="C32" s="31" t="s">
        <v>146</v>
      </c>
      <c r="D32" s="31" t="s">
        <v>147</v>
      </c>
      <c r="E32" s="31" t="s">
        <v>148</v>
      </c>
      <c r="M32" s="51"/>
      <c r="N32" s="51"/>
      <c r="O32" s="52"/>
      <c r="P32" s="52">
        <f>P5*P26</f>
        <v>1144</v>
      </c>
      <c r="Q32" s="52">
        <f>Q5*Q26</f>
        <v>1260</v>
      </c>
      <c r="R32" s="52">
        <f>R5*R26</f>
        <v>1260</v>
      </c>
      <c r="S32" s="40"/>
      <c r="T32" s="353"/>
      <c r="U32" s="54" t="s">
        <v>59</v>
      </c>
      <c r="V32" s="54">
        <v>0.2</v>
      </c>
      <c r="W32" s="42">
        <v>100</v>
      </c>
      <c r="X32" s="42">
        <v>100</v>
      </c>
      <c r="Y32" s="42">
        <v>100</v>
      </c>
      <c r="Z32" s="42">
        <v>100</v>
      </c>
      <c r="AA32" s="58" t="s">
        <v>102</v>
      </c>
    </row>
    <row r="33" spans="2:27" ht="26.25" customHeight="1" x14ac:dyDescent="0.15">
      <c r="B33" s="31" t="s">
        <v>149</v>
      </c>
      <c r="C33" s="32"/>
      <c r="D33" s="32"/>
      <c r="E33" s="32"/>
      <c r="M33" s="40"/>
      <c r="N33" s="25">
        <v>58561</v>
      </c>
      <c r="O33" s="25">
        <v>43472</v>
      </c>
      <c r="P33" s="40"/>
      <c r="Q33" s="40"/>
      <c r="R33" s="40"/>
      <c r="S33" s="40"/>
      <c r="T33" s="353"/>
      <c r="U33" s="54" t="s">
        <v>61</v>
      </c>
      <c r="V33" s="54">
        <v>0.2</v>
      </c>
      <c r="W33" s="42">
        <v>100</v>
      </c>
      <c r="X33" s="42">
        <v>100</v>
      </c>
      <c r="Y33" s="42">
        <v>100</v>
      </c>
      <c r="Z33" s="42">
        <v>100</v>
      </c>
      <c r="AA33" s="58" t="s">
        <v>150</v>
      </c>
    </row>
    <row r="34" spans="2:27" ht="26.25" customHeight="1" x14ac:dyDescent="0.15">
      <c r="B34" s="31" t="s">
        <v>151</v>
      </c>
      <c r="C34" s="33"/>
      <c r="D34" s="33"/>
      <c r="E34" s="33"/>
      <c r="S34" s="55" t="str">
        <f>P17</f>
        <v>7</v>
      </c>
      <c r="T34" s="354"/>
      <c r="U34" s="54" t="s">
        <v>62</v>
      </c>
      <c r="V34" s="54">
        <f>SUM(V30:V33)</f>
        <v>1</v>
      </c>
      <c r="W34" s="42">
        <v>100</v>
      </c>
      <c r="X34" s="42">
        <f>ROUND((X30/W30*V30+X31/W31*V31+X32/W32*V32+X33/W33*V33)*100,2)</f>
        <v>100</v>
      </c>
      <c r="Y34" s="42">
        <f>ROUND((Y30/W30*V30+Y31/W31*V31+Y32/W32*V32+Y33/W33*V33)*100,2)</f>
        <v>100</v>
      </c>
      <c r="Z34" s="42">
        <f>ROUND((Z30/W30*V30+Z31/W31*V31+Z32/W32*V32+Z33/W33*V33)*100,2)</f>
        <v>100</v>
      </c>
      <c r="AA34" s="58" t="s">
        <v>63</v>
      </c>
    </row>
    <row r="35" spans="2:27" ht="26.25" customHeight="1" x14ac:dyDescent="0.15">
      <c r="B35" s="31" t="s">
        <v>152</v>
      </c>
      <c r="C35" s="34" t="s">
        <v>138</v>
      </c>
      <c r="D35" s="34" t="s">
        <v>138</v>
      </c>
      <c r="E35" s="34" t="s">
        <v>138</v>
      </c>
      <c r="I35"/>
      <c r="J35">
        <v>1300</v>
      </c>
      <c r="T35" s="345" t="s">
        <v>64</v>
      </c>
      <c r="U35" s="345"/>
      <c r="V35" s="346" t="s">
        <v>29</v>
      </c>
      <c r="W35" s="347"/>
      <c r="X35" s="42">
        <f>ROUND(X5/X6/X7/X19/X29/X34*100^5,2)</f>
        <v>12.88</v>
      </c>
      <c r="Y35" s="42">
        <f>ROUND(Y5/Y6/Y7/Y19/Y29/Y34*100^5,2)</f>
        <v>13.9</v>
      </c>
      <c r="Z35" s="42">
        <f>ROUND(Z5/Z6/Z7/Z19/Z29/Z34*100^5,2)</f>
        <v>13.83</v>
      </c>
      <c r="AA35" s="59"/>
    </row>
    <row r="36" spans="2:27" ht="26.25" customHeight="1" x14ac:dyDescent="0.15">
      <c r="B36" s="31" t="s">
        <v>153</v>
      </c>
      <c r="C36" s="31" t="s">
        <v>6</v>
      </c>
      <c r="D36" s="31" t="s">
        <v>6</v>
      </c>
      <c r="E36" s="31" t="s">
        <v>6</v>
      </c>
      <c r="T36" s="345" t="s">
        <v>11</v>
      </c>
      <c r="U36" s="345"/>
      <c r="V36" s="346">
        <f>ROUND((X35+Y35+Z35)/3,0)</f>
        <v>14</v>
      </c>
      <c r="W36" s="348"/>
      <c r="X36" s="348"/>
      <c r="Y36" s="348"/>
      <c r="Z36" s="347"/>
      <c r="AA36" s="59">
        <v>2730</v>
      </c>
    </row>
    <row r="37" spans="2:27" ht="26.25" customHeight="1" x14ac:dyDescent="0.15">
      <c r="B37" s="31" t="s">
        <v>154</v>
      </c>
      <c r="C37" s="35" t="s">
        <v>155</v>
      </c>
      <c r="D37" s="35" t="s">
        <v>155</v>
      </c>
      <c r="E37" s="35" t="s">
        <v>155</v>
      </c>
      <c r="T37" s="345" t="s">
        <v>3</v>
      </c>
      <c r="U37" s="345"/>
      <c r="V37" s="346" t="e">
        <f>O26</f>
        <v>#REF!</v>
      </c>
      <c r="W37" s="348"/>
      <c r="X37" s="348"/>
      <c r="Y37" s="348"/>
      <c r="Z37" s="347"/>
      <c r="AA37" s="59"/>
    </row>
    <row r="38" spans="2:27" ht="26.25" customHeight="1" x14ac:dyDescent="0.15">
      <c r="B38" s="31" t="s">
        <v>156</v>
      </c>
      <c r="C38" s="34" t="s">
        <v>157</v>
      </c>
      <c r="D38" s="34" t="s">
        <v>111</v>
      </c>
      <c r="E38" s="34" t="s">
        <v>157</v>
      </c>
      <c r="T38" s="345" t="s">
        <v>65</v>
      </c>
      <c r="U38" s="345"/>
      <c r="V38" s="346">
        <v>0</v>
      </c>
      <c r="W38" s="348"/>
      <c r="X38" s="348"/>
      <c r="Y38" s="348"/>
      <c r="Z38" s="347"/>
      <c r="AA38" s="59"/>
    </row>
    <row r="39" spans="2:27" ht="26.25" customHeight="1" x14ac:dyDescent="0.15">
      <c r="B39" s="31" t="s">
        <v>158</v>
      </c>
      <c r="C39" s="36">
        <v>88</v>
      </c>
      <c r="D39" s="36">
        <v>90</v>
      </c>
      <c r="E39" s="36">
        <v>92</v>
      </c>
      <c r="T39" s="345" t="s">
        <v>66</v>
      </c>
      <c r="U39" s="345"/>
      <c r="V39" s="346">
        <f>V38+V36</f>
        <v>14</v>
      </c>
      <c r="W39" s="348"/>
      <c r="X39" s="348"/>
      <c r="Y39" s="348"/>
      <c r="Z39" s="347"/>
      <c r="AA39" s="59"/>
    </row>
    <row r="40" spans="2:27" ht="26.25" customHeight="1" x14ac:dyDescent="0.15">
      <c r="B40" s="31" t="s">
        <v>159</v>
      </c>
      <c r="C40" s="31">
        <v>1</v>
      </c>
      <c r="D40" s="31">
        <v>1</v>
      </c>
      <c r="E40" s="31">
        <v>1</v>
      </c>
    </row>
    <row r="41" spans="2:27" ht="26.25" customHeight="1" x14ac:dyDescent="0.15">
      <c r="B41" s="31" t="s">
        <v>19</v>
      </c>
      <c r="C41" s="31" t="s">
        <v>31</v>
      </c>
      <c r="D41" s="31" t="s">
        <v>31</v>
      </c>
      <c r="E41" s="31" t="s">
        <v>31</v>
      </c>
      <c r="Z41" s="2">
        <f>Z35/Y35</f>
        <v>0.99496402877697843</v>
      </c>
    </row>
    <row r="42" spans="2:27" ht="26.25" customHeight="1" x14ac:dyDescent="0.15">
      <c r="B42" s="31" t="s">
        <v>160</v>
      </c>
      <c r="C42" s="37" t="s">
        <v>161</v>
      </c>
      <c r="D42" s="37" t="s">
        <v>162</v>
      </c>
      <c r="E42" s="37" t="s">
        <v>161</v>
      </c>
    </row>
    <row r="43" spans="2:27" ht="26.25" customHeight="1" x14ac:dyDescent="0.15">
      <c r="B43" s="31" t="s">
        <v>163</v>
      </c>
      <c r="C43" s="31">
        <v>1200</v>
      </c>
      <c r="D43" s="31">
        <v>1300</v>
      </c>
      <c r="E43" s="31">
        <v>1300</v>
      </c>
    </row>
    <row r="44" spans="2:27" ht="26.25" customHeight="1" x14ac:dyDescent="0.15">
      <c r="B44" s="31" t="s">
        <v>164</v>
      </c>
      <c r="C44" s="38">
        <f>C43/C39</f>
        <v>13.636363636363637</v>
      </c>
      <c r="D44" s="38">
        <f>D43/D39</f>
        <v>14.444444444444445</v>
      </c>
      <c r="E44" s="38">
        <f>E43/E39</f>
        <v>14.130434782608695</v>
      </c>
    </row>
    <row r="45" spans="2:27" ht="26.25" customHeight="1" x14ac:dyDescent="0.15">
      <c r="B45" s="31" t="s">
        <v>165</v>
      </c>
      <c r="C45" s="39">
        <v>0.1</v>
      </c>
      <c r="D45" s="39">
        <v>0.1</v>
      </c>
      <c r="E45" s="39">
        <v>0.1</v>
      </c>
    </row>
  </sheetData>
  <customSheetViews>
    <customSheetView guid="{AE981602-F4CF-4366-B91E-697FDAE77D82}" scale="70" state="hidden" topLeftCell="A25">
      <selection activeCell="B48" sqref="B48"/>
      <pageMargins left="0.75" right="0.75" top="1" bottom="1" header="0.5" footer="0.5"/>
      <pageSetup paperSize="9" orientation="portrait"/>
      <headerFooter alignWithMargins="0"/>
    </customSheetView>
  </customSheetViews>
  <mergeCells count="58">
    <mergeCell ref="T37:U37"/>
    <mergeCell ref="V37:Z37"/>
    <mergeCell ref="T38:U38"/>
    <mergeCell ref="V38:Z38"/>
    <mergeCell ref="T39:U39"/>
    <mergeCell ref="V39:Z39"/>
    <mergeCell ref="A18:G18"/>
    <mergeCell ref="F23:H23"/>
    <mergeCell ref="T35:U35"/>
    <mergeCell ref="V35:W35"/>
    <mergeCell ref="T36:U36"/>
    <mergeCell ref="V36:Z36"/>
    <mergeCell ref="M19:M27"/>
    <mergeCell ref="M28:M31"/>
    <mergeCell ref="T8:T19"/>
    <mergeCell ref="T20:T29"/>
    <mergeCell ref="T30:T34"/>
    <mergeCell ref="F9:G9"/>
    <mergeCell ref="F10:G10"/>
    <mergeCell ref="F11:G11"/>
    <mergeCell ref="F12:G12"/>
    <mergeCell ref="A13:G13"/>
    <mergeCell ref="C7:D7"/>
    <mergeCell ref="E7:F7"/>
    <mergeCell ref="M7:N7"/>
    <mergeCell ref="T7:U7"/>
    <mergeCell ref="A8:G8"/>
    <mergeCell ref="M8:M18"/>
    <mergeCell ref="B14:C14"/>
    <mergeCell ref="D14:E14"/>
    <mergeCell ref="F14:G14"/>
    <mergeCell ref="B15:C15"/>
    <mergeCell ref="D15:E15"/>
    <mergeCell ref="F15:G15"/>
    <mergeCell ref="B16:C16"/>
    <mergeCell ref="D16:E16"/>
    <mergeCell ref="F16:G16"/>
    <mergeCell ref="B17:G17"/>
    <mergeCell ref="C5:D5"/>
    <mergeCell ref="E5:F5"/>
    <mergeCell ref="M5:N5"/>
    <mergeCell ref="T5:U5"/>
    <mergeCell ref="C6:D6"/>
    <mergeCell ref="E6:F6"/>
    <mergeCell ref="M6:N6"/>
    <mergeCell ref="T6:U6"/>
    <mergeCell ref="A3:G3"/>
    <mergeCell ref="M3:N3"/>
    <mergeCell ref="T3:U3"/>
    <mergeCell ref="C4:D4"/>
    <mergeCell ref="E4:F4"/>
    <mergeCell ref="M4:N4"/>
    <mergeCell ref="T4:U4"/>
    <mergeCell ref="A1:G1"/>
    <mergeCell ref="N1:R1"/>
    <mergeCell ref="A2:G2"/>
    <mergeCell ref="M2:N2"/>
    <mergeCell ref="T2:U2"/>
  </mergeCells>
  <phoneticPr fontId="17" type="noConversion"/>
  <dataValidations count="2">
    <dataValidation allowBlank="1" showInputMessage="1" showErrorMessage="1" sqref="T24:V24" xr:uid="{00000000-0002-0000-0700-000000000000}"/>
    <dataValidation type="textLength" operator="greaterThan" allowBlank="1" showInputMessage="1" showErrorMessage="1" sqref="S24:S33" xr:uid="{00000000-0002-0000-0700-000001000000}">
      <formula1>10000</formula1>
    </dataValidation>
  </dataValidations>
  <pageMargins left="0.75" right="0.75" top="1" bottom="1" header="0.5" footer="0.5"/>
  <pageSetup paperSize="9"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Q6"/>
  <sheetViews>
    <sheetView zoomScaleNormal="100" workbookViewId="0">
      <selection activeCell="D26" sqref="D26"/>
    </sheetView>
  </sheetViews>
  <sheetFormatPr defaultColWidth="9" defaultRowHeight="13.5" x14ac:dyDescent="0.15"/>
  <cols>
    <col min="1" max="1" width="8.75" style="62" customWidth="1"/>
    <col min="2" max="2" width="39" style="62" customWidth="1"/>
    <col min="3" max="3" width="18.75" style="62" customWidth="1"/>
    <col min="4" max="4" width="21.125" style="62" customWidth="1"/>
    <col min="5" max="6" width="11.25" style="62" customWidth="1"/>
    <col min="7" max="7" width="10.875" style="62" customWidth="1"/>
    <col min="8" max="8" width="8.875" style="62" customWidth="1"/>
    <col min="9" max="9" width="13" style="62" customWidth="1"/>
    <col min="10" max="10" width="9.875" style="62" customWidth="1"/>
    <col min="11" max="11" width="7.875" style="62" customWidth="1"/>
    <col min="12" max="12" width="9.125" style="62" customWidth="1"/>
    <col min="13" max="13" width="8.875" style="62" customWidth="1"/>
    <col min="14" max="14" width="11.625" style="62" customWidth="1"/>
    <col min="15" max="15" width="9.75" style="62" customWidth="1"/>
    <col min="16" max="16" width="14.875" style="62" customWidth="1"/>
    <col min="17" max="17" width="13.5" style="62" customWidth="1"/>
    <col min="18" max="18" width="11.625" style="62" customWidth="1"/>
    <col min="19" max="16384" width="9" style="62"/>
  </cols>
  <sheetData>
    <row r="1" spans="1:17" ht="40.5" x14ac:dyDescent="0.15">
      <c r="A1" s="63" t="s">
        <v>183</v>
      </c>
      <c r="B1" s="70" t="str">
        <f>IF(ISERR(FIND("不动",B2)),"房地产权证","不动产权证")</f>
        <v>房地产权证</v>
      </c>
      <c r="C1" s="71" t="s">
        <v>184</v>
      </c>
      <c r="D1" s="71" t="s">
        <v>2</v>
      </c>
      <c r="E1" s="67" t="s">
        <v>235</v>
      </c>
      <c r="F1" s="67" t="s">
        <v>236</v>
      </c>
      <c r="G1" s="67" t="s">
        <v>189</v>
      </c>
      <c r="H1" s="67" t="s">
        <v>190</v>
      </c>
      <c r="I1" s="68" t="s">
        <v>237</v>
      </c>
      <c r="J1" s="69" t="s">
        <v>238</v>
      </c>
      <c r="K1" s="68" t="s">
        <v>239</v>
      </c>
      <c r="L1" s="69" t="s">
        <v>186</v>
      </c>
      <c r="M1" s="69" t="s">
        <v>185</v>
      </c>
      <c r="N1" s="64" t="s">
        <v>187</v>
      </c>
      <c r="O1" s="64" t="s">
        <v>233</v>
      </c>
      <c r="P1" s="64" t="s">
        <v>240</v>
      </c>
      <c r="Q1" s="65" t="s">
        <v>188</v>
      </c>
    </row>
    <row r="4" spans="1:17" x14ac:dyDescent="0.15">
      <c r="I4" s="66"/>
    </row>
    <row r="5" spans="1:17" x14ac:dyDescent="0.15">
      <c r="B5" s="62" t="str" cm="1">
        <f t="array" aca="1" ref="B5" ca="1">MID(CELL("filename"),FIND("[",CELL("filename"))+1,FIND("]",CELL("filename" ))-FIND("[",CELL("filename"))-1)</f>
        <v>测算表.xlsx</v>
      </c>
      <c r="J5" s="66"/>
    </row>
    <row r="6" spans="1:17" ht="76.5" customHeight="1" x14ac:dyDescent="0.15">
      <c r="B6" s="62" t="str" cm="1">
        <f t="array" aca="1" ref="B6" ca="1">CELL("filename")</f>
        <v>C:\Users\Administrator\Desktop\技术报告模板-最后专门用来写技术的，7000\[测算表.xlsx]测算表</v>
      </c>
    </row>
  </sheetData>
  <customSheetViews>
    <customSheetView guid="{AE981602-F4CF-4366-B91E-697FDAE77D82}" scale="85" hiddenRows="1" topLeftCell="A4">
      <pane ySplit="5" topLeftCell="A9" activePane="bottomLeft" state="frozen"/>
      <selection pane="bottomLeft" activeCell="D7" sqref="D7"/>
      <pageMargins left="0.69930555555555596" right="0.69930555555555596" top="0.75" bottom="0.75" header="0.3" footer="0.3"/>
      <pageSetup paperSize="9" orientation="portrait"/>
    </customSheetView>
  </customSheetViews>
  <phoneticPr fontId="17" type="noConversion"/>
  <pageMargins left="0.69930555555555596" right="0.69930555555555596"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1AD257-CEA7-4E4A-9EED-B6A9CBDD0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465</vt:i4>
      </vt:variant>
    </vt:vector>
  </HeadingPairs>
  <TitlesOfParts>
    <vt:vector size="475" baseType="lpstr">
      <vt:lpstr>封面</vt:lpstr>
      <vt:lpstr>司法归档目录</vt:lpstr>
      <vt:lpstr>档案目录</vt:lpstr>
      <vt:lpstr>收费涵</vt:lpstr>
      <vt:lpstr>测算表</vt:lpstr>
      <vt:lpstr>家具评估结果明细表</vt:lpstr>
      <vt:lpstr>案例照片</vt:lpstr>
      <vt:lpstr>家具案例</vt:lpstr>
      <vt:lpstr>收益法（带有租金比较）</vt:lpstr>
      <vt:lpstr>估价结果明细表</vt:lpstr>
      <vt:lpstr>档案目录!Print_Area</vt:lpstr>
      <vt:lpstr>家具评估结果明细表!Print_Area</vt:lpstr>
      <vt:lpstr>收费涵!Print_Area</vt:lpstr>
      <vt:lpstr>司法归档目录!Print_Area</vt:lpstr>
      <vt:lpstr>保险费</vt:lpstr>
      <vt:lpstr>保险费率</vt:lpstr>
      <vt:lpstr>报告出具日期</vt:lpstr>
      <vt:lpstr>报告出具日期大写</vt:lpstr>
      <vt:lpstr>报告有效期</vt:lpstr>
      <vt:lpstr>报告有效期大写</vt:lpstr>
      <vt:lpstr>比较法</vt:lpstr>
      <vt:lpstr>比较法测算结果单价</vt:lpstr>
      <vt:lpstr>比较法评估单价</vt:lpstr>
      <vt:lpstr>比较法评估总价</vt:lpstr>
      <vt:lpstr>比较法权重</vt:lpstr>
      <vt:lpstr>变现能力城建税计算方法</vt:lpstr>
      <vt:lpstr>变现能力地方税附加计算方法</vt:lpstr>
      <vt:lpstr>变现能力教育税附加计算方法</vt:lpstr>
      <vt:lpstr>变现能力其他费用计算方法</vt:lpstr>
      <vt:lpstr>变现能力所得税计算方法</vt:lpstr>
      <vt:lpstr>变现能力土地增值税计算方法</vt:lpstr>
      <vt:lpstr>变现能力增值税计算方法</vt:lpstr>
      <vt:lpstr>变现评估净值</vt:lpstr>
      <vt:lpstr>变现评估总价</vt:lpstr>
      <vt:lpstr>层高</vt:lpstr>
      <vt:lpstr>层高修正系数</vt:lpstr>
      <vt:lpstr>朝向修正系数</vt:lpstr>
      <vt:lpstr>城建税变现价格分析</vt:lpstr>
      <vt:lpstr>城建税取费依据</vt:lpstr>
      <vt:lpstr>出租或占用状况</vt:lpstr>
      <vt:lpstr>处置时涉及到的各项税费合计</vt:lpstr>
      <vt:lpstr>道路状况修正系数</vt:lpstr>
      <vt:lpstr>地方税附加变现分析</vt:lpstr>
      <vt:lpstr>地方税附加取费依据</vt:lpstr>
      <vt:lpstr>地形地势</vt:lpstr>
      <vt:lpstr>地质</vt:lpstr>
      <vt:lpstr>方位</vt:lpstr>
      <vt:lpstr>房地产和家具总价大写</vt:lpstr>
      <vt:lpstr>房地产和家具总价小写</vt:lpstr>
      <vt:lpstr>房地产综合评估单价</vt:lpstr>
      <vt:lpstr>房地产综合评估总价</vt:lpstr>
      <vt:lpstr>房屋用途</vt:lpstr>
      <vt:lpstr>分摊土地使用权面积</vt:lpstr>
      <vt:lpstr>公共及基础设施状况</vt:lpstr>
      <vt:lpstr>公共设施完备度修正系数</vt:lpstr>
      <vt:lpstr>共有情况</vt:lpstr>
      <vt:lpstr>共有宗地面积</vt:lpstr>
      <vt:lpstr>估价报告编号</vt:lpstr>
      <vt:lpstr>估价对象层高</vt:lpstr>
      <vt:lpstr>估价对象层高分</vt:lpstr>
      <vt:lpstr>估价对象朝向</vt:lpstr>
      <vt:lpstr>估价对象朝向分</vt:lpstr>
      <vt:lpstr>估价对象道路状况</vt:lpstr>
      <vt:lpstr>估价对象道路状况分</vt:lpstr>
      <vt:lpstr>估价对象公共设施完备度</vt:lpstr>
      <vt:lpstr>估价对象公共设施完备度分</vt:lpstr>
      <vt:lpstr>估价对象规划上限制</vt:lpstr>
      <vt:lpstr>估价对象规划上限制分</vt:lpstr>
      <vt:lpstr>估价对象基础设施完备度</vt:lpstr>
      <vt:lpstr>估价对象基础设施完备度分</vt:lpstr>
      <vt:lpstr>估价对象建筑总楼层</vt:lpstr>
      <vt:lpstr>估价对象交通状况</vt:lpstr>
      <vt:lpstr>估价对象交通状况分</vt:lpstr>
      <vt:lpstr>估价对象交易情况</vt:lpstr>
      <vt:lpstr>估价对象交易情况分</vt:lpstr>
      <vt:lpstr>估价对象结构</vt:lpstr>
      <vt:lpstr>估价对象结构分</vt:lpstr>
      <vt:lpstr>估价对象景观</vt:lpstr>
      <vt:lpstr>估价对象景观分</vt:lpstr>
      <vt:lpstr>估价对象居住适宜度</vt:lpstr>
      <vt:lpstr>估价对象居住适宜度分</vt:lpstr>
      <vt:lpstr>估价对象距区域商业中心的距离</vt:lpstr>
      <vt:lpstr>估价对象距区域商业中心的距离分</vt:lpstr>
      <vt:lpstr>估价对象空间布局</vt:lpstr>
      <vt:lpstr>估价对象空间布局分</vt:lpstr>
      <vt:lpstr>估价对象楼层</vt:lpstr>
      <vt:lpstr>估价对象楼层分</vt:lpstr>
      <vt:lpstr>估价对象面积</vt:lpstr>
      <vt:lpstr>估价对象面积分</vt:lpstr>
      <vt:lpstr>估价对象区位状况调整指数分</vt:lpstr>
      <vt:lpstr>估价对象权益状况调整指数分</vt:lpstr>
      <vt:lpstr>估价对象社会人文环境</vt:lpstr>
      <vt:lpstr>估价对象社会人文环境分</vt:lpstr>
      <vt:lpstr>估价对象实物状况调整指数分</vt:lpstr>
      <vt:lpstr>估价对象市场状况调整分</vt:lpstr>
      <vt:lpstr>估价对象通风采光</vt:lpstr>
      <vt:lpstr>估价对象通风采光分</vt:lpstr>
      <vt:lpstr>估价对象土地使用权类型</vt:lpstr>
      <vt:lpstr>估价对象土地使用权类型分</vt:lpstr>
      <vt:lpstr>估价对象土地使用权剩余使用年期</vt:lpstr>
      <vt:lpstr>估价对象土地使用权剩余使用年期分</vt:lpstr>
      <vt:lpstr>估价对象外观</vt:lpstr>
      <vt:lpstr>估价对象外观分</vt:lpstr>
      <vt:lpstr>估价对象物业管理</vt:lpstr>
      <vt:lpstr>估价对象物业管理分</vt:lpstr>
      <vt:lpstr>估价对象物业名称</vt:lpstr>
      <vt:lpstr>估价对象新旧程度</vt:lpstr>
      <vt:lpstr>估价对象新旧程度分</vt:lpstr>
      <vt:lpstr>估价对象有无抵押他项权</vt:lpstr>
      <vt:lpstr>估价对象有无抵押他项权分</vt:lpstr>
      <vt:lpstr>估价对象有无租约限制</vt:lpstr>
      <vt:lpstr>估价对象有无租约限制分</vt:lpstr>
      <vt:lpstr>估价对象装饰装修</vt:lpstr>
      <vt:lpstr>估价对象装饰装修分</vt:lpstr>
      <vt:lpstr>估价对象自然环境</vt:lpstr>
      <vt:lpstr>估价对象自然环境分</vt:lpstr>
      <vt:lpstr>估价对象坐落</vt:lpstr>
      <vt:lpstr>估价师1联系电话</vt:lpstr>
      <vt:lpstr>估价师1名称</vt:lpstr>
      <vt:lpstr>估价师1注册号</vt:lpstr>
      <vt:lpstr>估价师2联系电话</vt:lpstr>
      <vt:lpstr>估价师2名称</vt:lpstr>
      <vt:lpstr>估价师2注册号</vt:lpstr>
      <vt:lpstr>估价委托人</vt:lpstr>
      <vt:lpstr>估价委托人联系人</vt:lpstr>
      <vt:lpstr>管理费</vt:lpstr>
      <vt:lpstr>管理费费率</vt:lpstr>
      <vt:lpstr>规划上限制修正系数</vt:lpstr>
      <vt:lpstr>环境</vt:lpstr>
      <vt:lpstr>基础设施完备度修正系数</vt:lpstr>
      <vt:lpstr>家具家电评估总价</vt:lpstr>
      <vt:lpstr>家具家电总价大写</vt:lpstr>
      <vt:lpstr>价值时点</vt:lpstr>
      <vt:lpstr>价值时点大写</vt:lpstr>
      <vt:lpstr>建安</vt:lpstr>
      <vt:lpstr>建成时间</vt:lpstr>
      <vt:lpstr>建筑规模</vt:lpstr>
      <vt:lpstr>建筑结构</vt:lpstr>
      <vt:lpstr>建筑面积</vt:lpstr>
      <vt:lpstr>建筑外观状况</vt:lpstr>
      <vt:lpstr>建筑物剩余使用年限</vt:lpstr>
      <vt:lpstr>建筑物整栋楼层状况</vt:lpstr>
      <vt:lpstr>建筑物总楼层</vt:lpstr>
      <vt:lpstr>交通</vt:lpstr>
      <vt:lpstr>交通状况修正系数</vt:lpstr>
      <vt:lpstr>教育税附加变现价格分析</vt:lpstr>
      <vt:lpstr>教育税附加取费依据</vt:lpstr>
      <vt:lpstr>结构修正系数</vt:lpstr>
      <vt:lpstr>景观修正系数</vt:lpstr>
      <vt:lpstr>居住适宜度修正系数</vt:lpstr>
      <vt:lpstr>距离重要场所距离</vt:lpstr>
      <vt:lpstr>距区域商业中心的距离修正系数</vt:lpstr>
      <vt:lpstr>开发程度</vt:lpstr>
      <vt:lpstr>可比实例A测算修正单价</vt:lpstr>
      <vt:lpstr>可比实例A层高</vt:lpstr>
      <vt:lpstr>可比实例A层高分</vt:lpstr>
      <vt:lpstr>可比实例A朝向</vt:lpstr>
      <vt:lpstr>可比实例A朝向分</vt:lpstr>
      <vt:lpstr>可比实例A成交日期</vt:lpstr>
      <vt:lpstr>可比实例A单价</vt:lpstr>
      <vt:lpstr>可比实例A道路状况</vt:lpstr>
      <vt:lpstr>可比实例A道路状况分</vt:lpstr>
      <vt:lpstr>可比实例A公共设施完备度</vt:lpstr>
      <vt:lpstr>可比实例A公共设施完备度分</vt:lpstr>
      <vt:lpstr>可比实例A规划上限制</vt:lpstr>
      <vt:lpstr>可比实例A规划上限制分</vt:lpstr>
      <vt:lpstr>可比实例A基础设施完备度</vt:lpstr>
      <vt:lpstr>可比实例A基础设施完备度分</vt:lpstr>
      <vt:lpstr>可比实例A建筑总楼层</vt:lpstr>
      <vt:lpstr>可比实例A交通状况</vt:lpstr>
      <vt:lpstr>可比实例A交通状况分</vt:lpstr>
      <vt:lpstr>可比实例A交易情况</vt:lpstr>
      <vt:lpstr>可比实例A交易情况分</vt:lpstr>
      <vt:lpstr>可比实例A结构</vt:lpstr>
      <vt:lpstr>可比实例A结构分</vt:lpstr>
      <vt:lpstr>可比实例A景观</vt:lpstr>
      <vt:lpstr>可比实例A景观分</vt:lpstr>
      <vt:lpstr>可比实例A居住适宜度</vt:lpstr>
      <vt:lpstr>可比实例A居住适宜度分</vt:lpstr>
      <vt:lpstr>可比实例A距区域商业中心的距离</vt:lpstr>
      <vt:lpstr>可比实例A距区域商业中心的距离分</vt:lpstr>
      <vt:lpstr>可比实例A空间布局</vt:lpstr>
      <vt:lpstr>可比实例A空间布局分</vt:lpstr>
      <vt:lpstr>可比实例A楼层</vt:lpstr>
      <vt:lpstr>可比实例A楼层分</vt:lpstr>
      <vt:lpstr>可比实例A面积</vt:lpstr>
      <vt:lpstr>可比实例A面积分</vt:lpstr>
      <vt:lpstr>可比实例A区位状况调整指数分</vt:lpstr>
      <vt:lpstr>可比实例A权益状况调整指数分</vt:lpstr>
      <vt:lpstr>可比实例A社会人文环境</vt:lpstr>
      <vt:lpstr>可比实例A社会人文环境分</vt:lpstr>
      <vt:lpstr>可比实例A实物状况调整指数分</vt:lpstr>
      <vt:lpstr>可比实例A市场状况调整分</vt:lpstr>
      <vt:lpstr>可比实例A通风采光</vt:lpstr>
      <vt:lpstr>可比实例A通风采光分</vt:lpstr>
      <vt:lpstr>可比实例A土地使用权类型</vt:lpstr>
      <vt:lpstr>可比实例A土地使用权类型分</vt:lpstr>
      <vt:lpstr>可比实例A土地使用权剩余使用年期</vt:lpstr>
      <vt:lpstr>可比实例A土地使用权剩余使用年期分</vt:lpstr>
      <vt:lpstr>可比实例A外观</vt:lpstr>
      <vt:lpstr>可比实例A外观分</vt:lpstr>
      <vt:lpstr>可比实例A物业管理</vt:lpstr>
      <vt:lpstr>可比实例A物业管理分</vt:lpstr>
      <vt:lpstr>可比实例A物业名称</vt:lpstr>
      <vt:lpstr>可比实例A新旧程度</vt:lpstr>
      <vt:lpstr>可比实例A新旧程度分</vt:lpstr>
      <vt:lpstr>可比实例A有无抵押他项权</vt:lpstr>
      <vt:lpstr>可比实例A有无抵押他项权分</vt:lpstr>
      <vt:lpstr>可比实例A有无租约限制</vt:lpstr>
      <vt:lpstr>可比实例A有无租约限制分</vt:lpstr>
      <vt:lpstr>可比实例A装饰装修</vt:lpstr>
      <vt:lpstr>可比实例A装饰装修分</vt:lpstr>
      <vt:lpstr>可比实例A自然环境</vt:lpstr>
      <vt:lpstr>可比实例A自然环境分</vt:lpstr>
      <vt:lpstr>可比实例A总价</vt:lpstr>
      <vt:lpstr>可比实例A坐落</vt:lpstr>
      <vt:lpstr>可比实例B测算修正单价</vt:lpstr>
      <vt:lpstr>可比实例B层高</vt:lpstr>
      <vt:lpstr>可比实例B层高分</vt:lpstr>
      <vt:lpstr>可比实例B朝向</vt:lpstr>
      <vt:lpstr>可比实例B朝向分</vt:lpstr>
      <vt:lpstr>可比实例B成交日期</vt:lpstr>
      <vt:lpstr>可比实例B单价</vt:lpstr>
      <vt:lpstr>可比实例B道路状况</vt:lpstr>
      <vt:lpstr>可比实例B道路状况分</vt:lpstr>
      <vt:lpstr>可比实例B公共设施完备度</vt:lpstr>
      <vt:lpstr>可比实例B公共设施完备度分</vt:lpstr>
      <vt:lpstr>可比实例B规划上限制</vt:lpstr>
      <vt:lpstr>可比实例B规划上限制分</vt:lpstr>
      <vt:lpstr>可比实例B基础设施完备度</vt:lpstr>
      <vt:lpstr>可比实例B基础设施完备度分</vt:lpstr>
      <vt:lpstr>可比实例B建筑总楼层</vt:lpstr>
      <vt:lpstr>可比实例B交通状况</vt:lpstr>
      <vt:lpstr>可比实例B交通状况分</vt:lpstr>
      <vt:lpstr>可比实例B交易情况</vt:lpstr>
      <vt:lpstr>可比实例B交易情况分</vt:lpstr>
      <vt:lpstr>可比实例B结构</vt:lpstr>
      <vt:lpstr>可比实例B结构分</vt:lpstr>
      <vt:lpstr>可比实例B景观</vt:lpstr>
      <vt:lpstr>可比实例B景观分</vt:lpstr>
      <vt:lpstr>可比实例B居住适宜度</vt:lpstr>
      <vt:lpstr>可比实例B居住适宜度分</vt:lpstr>
      <vt:lpstr>可比实例B距区域商业中心的距离</vt:lpstr>
      <vt:lpstr>可比实例B距区域商业中心的距离分</vt:lpstr>
      <vt:lpstr>可比实例B空间布局</vt:lpstr>
      <vt:lpstr>可比实例B空间布局分</vt:lpstr>
      <vt:lpstr>可比实例B楼层</vt:lpstr>
      <vt:lpstr>可比实例B楼层分</vt:lpstr>
      <vt:lpstr>可比实例B面积</vt:lpstr>
      <vt:lpstr>可比实例B面积分</vt:lpstr>
      <vt:lpstr>可比实例B区位状况调整指数分</vt:lpstr>
      <vt:lpstr>可比实例B权益状况调整指数分</vt:lpstr>
      <vt:lpstr>可比实例B社会人文环境</vt:lpstr>
      <vt:lpstr>可比实例B社会人文环境分</vt:lpstr>
      <vt:lpstr>可比实例B实物状况调整指数分</vt:lpstr>
      <vt:lpstr>可比实例B市场状况调整分</vt:lpstr>
      <vt:lpstr>可比实例B通风采光</vt:lpstr>
      <vt:lpstr>可比实例B通风采光分</vt:lpstr>
      <vt:lpstr>可比实例B土地使用权类型</vt:lpstr>
      <vt:lpstr>可比实例B土地使用权类型分</vt:lpstr>
      <vt:lpstr>可比实例B土地使用权剩余使用年期</vt:lpstr>
      <vt:lpstr>可比实例B土地使用权剩余使用年期分</vt:lpstr>
      <vt:lpstr>可比实例B外观</vt:lpstr>
      <vt:lpstr>可比实例B外观分</vt:lpstr>
      <vt:lpstr>可比实例B物业管理</vt:lpstr>
      <vt:lpstr>可比实例B物业管理分</vt:lpstr>
      <vt:lpstr>可比实例B新旧程度</vt:lpstr>
      <vt:lpstr>可比实例B新旧程度分</vt:lpstr>
      <vt:lpstr>可比实例B有无抵押他项权</vt:lpstr>
      <vt:lpstr>可比实例B有无抵押他项权分</vt:lpstr>
      <vt:lpstr>可比实例B有无租约限制</vt:lpstr>
      <vt:lpstr>可比实例B有无租约限制分</vt:lpstr>
      <vt:lpstr>可比实例B装饰装修</vt:lpstr>
      <vt:lpstr>可比实例B装饰装修分</vt:lpstr>
      <vt:lpstr>可比实例B自然环境</vt:lpstr>
      <vt:lpstr>可比实例B自然环境分</vt:lpstr>
      <vt:lpstr>可比实例B总价</vt:lpstr>
      <vt:lpstr>可比实例B坐落</vt:lpstr>
      <vt:lpstr>可比实例C测算修正单价</vt:lpstr>
      <vt:lpstr>可比实例C层高</vt:lpstr>
      <vt:lpstr>可比实例C层高分</vt:lpstr>
      <vt:lpstr>可比实例C朝向</vt:lpstr>
      <vt:lpstr>可比实例C朝向分</vt:lpstr>
      <vt:lpstr>可比实例C成交日期</vt:lpstr>
      <vt:lpstr>可比实例C单价</vt:lpstr>
      <vt:lpstr>可比实例C道路状况</vt:lpstr>
      <vt:lpstr>可比实例C道路状况分</vt:lpstr>
      <vt:lpstr>可比实例C公共设施完备度</vt:lpstr>
      <vt:lpstr>可比实例C公共设施完备度分</vt:lpstr>
      <vt:lpstr>可比实例C规划上限制</vt:lpstr>
      <vt:lpstr>可比实例C规划上限制分</vt:lpstr>
      <vt:lpstr>可比实例C基础设施完备度</vt:lpstr>
      <vt:lpstr>可比实例C基础设施完备度分</vt:lpstr>
      <vt:lpstr>可比实例C建筑总楼层</vt:lpstr>
      <vt:lpstr>可比实例C交通状况</vt:lpstr>
      <vt:lpstr>可比实例C交通状况分</vt:lpstr>
      <vt:lpstr>可比实例C交易情况</vt:lpstr>
      <vt:lpstr>可比实例C交易情况分</vt:lpstr>
      <vt:lpstr>可比实例C结构</vt:lpstr>
      <vt:lpstr>可比实例C结构分</vt:lpstr>
      <vt:lpstr>可比实例C景观</vt:lpstr>
      <vt:lpstr>可比实例C景观分</vt:lpstr>
      <vt:lpstr>可比实例C居住适宜度</vt:lpstr>
      <vt:lpstr>可比实例C居住适宜度分</vt:lpstr>
      <vt:lpstr>可比实例C距区域商业中心的距离</vt:lpstr>
      <vt:lpstr>可比实例C距区域商业中心的距离分</vt:lpstr>
      <vt:lpstr>可比实例C空间布局</vt:lpstr>
      <vt:lpstr>可比实例C空间布局分</vt:lpstr>
      <vt:lpstr>可比实例C楼层</vt:lpstr>
      <vt:lpstr>可比实例C楼层分</vt:lpstr>
      <vt:lpstr>可比实例C面积</vt:lpstr>
      <vt:lpstr>可比实例C面积分</vt:lpstr>
      <vt:lpstr>可比实例C区位状况调整指数分</vt:lpstr>
      <vt:lpstr>可比实例C权益状况调整指数分</vt:lpstr>
      <vt:lpstr>可比实例C社会人文环境</vt:lpstr>
      <vt:lpstr>可比实例C社会人文环境分</vt:lpstr>
      <vt:lpstr>可比实例C实物状况调整指数分</vt:lpstr>
      <vt:lpstr>可比实例C市场状况调整分</vt:lpstr>
      <vt:lpstr>可比实例C通风采光</vt:lpstr>
      <vt:lpstr>可比实例C通风采光分</vt:lpstr>
      <vt:lpstr>可比实例C土地使用权类型</vt:lpstr>
      <vt:lpstr>可比实例C土地使用权类型分</vt:lpstr>
      <vt:lpstr>可比实例C土地使用权剩余使用年期</vt:lpstr>
      <vt:lpstr>可比实例C土地使用权剩余使用年期分</vt:lpstr>
      <vt:lpstr>可比实例C外观</vt:lpstr>
      <vt:lpstr>可比实例C外观分</vt:lpstr>
      <vt:lpstr>可比实例C物业管理</vt:lpstr>
      <vt:lpstr>可比实例C物业管理分</vt:lpstr>
      <vt:lpstr>可比实例C新旧程度</vt:lpstr>
      <vt:lpstr>可比实例C新旧程度分</vt:lpstr>
      <vt:lpstr>可比实例C有无抵押他项权</vt:lpstr>
      <vt:lpstr>可比实例C有无抵押他项权分</vt:lpstr>
      <vt:lpstr>可比实例C有无租约限制</vt:lpstr>
      <vt:lpstr>可比实例C有无租约限制分</vt:lpstr>
      <vt:lpstr>可比实例C装饰装修</vt:lpstr>
      <vt:lpstr>可比实例C装饰装修分</vt:lpstr>
      <vt:lpstr>可比实例C自然环境</vt:lpstr>
      <vt:lpstr>可比实例C自然环境分</vt:lpstr>
      <vt:lpstr>可比实例C总价</vt:lpstr>
      <vt:lpstr>可比实例C坐落</vt:lpstr>
      <vt:lpstr>客厅朝向</vt:lpstr>
      <vt:lpstr>空间布局</vt:lpstr>
      <vt:lpstr>空置率</vt:lpstr>
      <vt:lpstr>临街状况</vt:lpstr>
      <vt:lpstr>楼层修正系数</vt:lpstr>
      <vt:lpstr>面积修正系数</vt:lpstr>
      <vt:lpstr>年纯收入</vt:lpstr>
      <vt:lpstr>年费用合计</vt:lpstr>
      <vt:lpstr>年费用合计1</vt:lpstr>
      <vt:lpstr>年租金收入</vt:lpstr>
      <vt:lpstr>年租金收入1</vt:lpstr>
      <vt:lpstr>评估范围是否含家具</vt:lpstr>
      <vt:lpstr>评估家具详情清单</vt:lpstr>
      <vt:lpstr>其他费用变现分析</vt:lpstr>
      <vt:lpstr>其他费用取费依据</vt:lpstr>
      <vt:lpstr>其他收入</vt:lpstr>
      <vt:lpstr>区位状况朝向</vt:lpstr>
      <vt:lpstr>区位状况道路状况</vt:lpstr>
      <vt:lpstr>区位状况公共设施完备度</vt:lpstr>
      <vt:lpstr>区位状况规划上限制</vt:lpstr>
      <vt:lpstr>区位状况基础设施完备度</vt:lpstr>
      <vt:lpstr>区位状况交通状况</vt:lpstr>
      <vt:lpstr>区位状况景观</vt:lpstr>
      <vt:lpstr>区位状况居住适宜度</vt:lpstr>
      <vt:lpstr>区位状况距区域商业中心的距离</vt:lpstr>
      <vt:lpstr>区位状况楼层</vt:lpstr>
      <vt:lpstr>区位状况社会人文环境</vt:lpstr>
      <vt:lpstr>区位状况自然环境</vt:lpstr>
      <vt:lpstr>权利人</vt:lpstr>
      <vt:lpstr>权属证书编号</vt:lpstr>
      <vt:lpstr>权益状况土地使用权类型</vt:lpstr>
      <vt:lpstr>权益状况土地使用权剩余使用年期</vt:lpstr>
      <vt:lpstr>权益状况有无抵押他项权</vt:lpstr>
      <vt:lpstr>权益状况有无租约限制</vt:lpstr>
      <vt:lpstr>权证类型</vt:lpstr>
      <vt:lpstr>设施设备</vt:lpstr>
      <vt:lpstr>社会人文环境修正系数</vt:lpstr>
      <vt:lpstr>实物状况层高</vt:lpstr>
      <vt:lpstr>实物状况结构</vt:lpstr>
      <vt:lpstr>实物状况空间布局</vt:lpstr>
      <vt:lpstr>实物状况面积</vt:lpstr>
      <vt:lpstr>实物状况通风采光</vt:lpstr>
      <vt:lpstr>实物状况外观</vt:lpstr>
      <vt:lpstr>实物状况物业管理</vt:lpstr>
      <vt:lpstr>实物状况新旧程度</vt:lpstr>
      <vt:lpstr>实物状况装饰装修</vt:lpstr>
      <vt:lpstr>市场法估价测算过程</vt:lpstr>
      <vt:lpstr>收益法</vt:lpstr>
      <vt:lpstr>收益法估价测算过程</vt:lpstr>
      <vt:lpstr>收益法评估单价</vt:lpstr>
      <vt:lpstr>收益法评估总价</vt:lpstr>
      <vt:lpstr>收益法权重</vt:lpstr>
      <vt:lpstr>收益法月租金</vt:lpstr>
      <vt:lpstr>收益价格</vt:lpstr>
      <vt:lpstr>收益年限</vt:lpstr>
      <vt:lpstr>收益系数</vt:lpstr>
      <vt:lpstr>税费率合计</vt:lpstr>
      <vt:lpstr>税金</vt:lpstr>
      <vt:lpstr>四至</vt:lpstr>
      <vt:lpstr>所得税变现分析</vt:lpstr>
      <vt:lpstr>所得税取费依据</vt:lpstr>
      <vt:lpstr>所在楼层</vt:lpstr>
      <vt:lpstr>他项权利</vt:lpstr>
      <vt:lpstr>套内面积</vt:lpstr>
      <vt:lpstr>停车状况</vt:lpstr>
      <vt:lpstr>通风采光修正系数</vt:lpstr>
      <vt:lpstr>土地使用权类型</vt:lpstr>
      <vt:lpstr>土地使用权类型修正系数</vt:lpstr>
      <vt:lpstr>土地使用权剩余使用年期修正系数</vt:lpstr>
      <vt:lpstr>土地使用权终止日期</vt:lpstr>
      <vt:lpstr>土地形状</vt:lpstr>
      <vt:lpstr>土地用途</vt:lpstr>
      <vt:lpstr>土地增值税变现分析</vt:lpstr>
      <vt:lpstr>土地增值税取费依据</vt:lpstr>
      <vt:lpstr>土壤</vt:lpstr>
      <vt:lpstr>外观修正系数</vt:lpstr>
      <vt:lpstr>外墙</vt:lpstr>
      <vt:lpstr>维护及完损状况</vt:lpstr>
      <vt:lpstr>维修保养费</vt:lpstr>
      <vt:lpstr>维修保养费率</vt:lpstr>
      <vt:lpstr>委托编号</vt:lpstr>
      <vt:lpstr>委托方联系电话</vt:lpstr>
      <vt:lpstr>委托日期</vt:lpstr>
      <vt:lpstr>委托日期大写</vt:lpstr>
      <vt:lpstr>委托书</vt:lpstr>
      <vt:lpstr>物业管理</vt:lpstr>
      <vt:lpstr>物业管理修正系数</vt:lpstr>
      <vt:lpstr>小区名称</vt:lpstr>
      <vt:lpstr>新旧程度修正系数</vt:lpstr>
      <vt:lpstr>因素比较修正取值说明层高</vt:lpstr>
      <vt:lpstr>因素比较修正取值说明朝向</vt:lpstr>
      <vt:lpstr>因素比较修正取值说明单价</vt:lpstr>
      <vt:lpstr>因素比较修正取值说明道路状况</vt:lpstr>
      <vt:lpstr>因素比较修正取值说明公共设施完备度</vt:lpstr>
      <vt:lpstr>因素比较修正取值说明规划上限制</vt:lpstr>
      <vt:lpstr>因素比较修正取值说明基础设施完备度</vt:lpstr>
      <vt:lpstr>因素比较修正取值说明建筑总楼层</vt:lpstr>
      <vt:lpstr>因素比较修正取值说明交通状况</vt:lpstr>
      <vt:lpstr>因素比较修正取值说明交易情况</vt:lpstr>
      <vt:lpstr>因素比较修正取值说明结构</vt:lpstr>
      <vt:lpstr>因素比较修正取值说明景观</vt:lpstr>
      <vt:lpstr>因素比较修正取值说明距区域商业中心的距离</vt:lpstr>
      <vt:lpstr>因素比较修正取值说明空间布局</vt:lpstr>
      <vt:lpstr>因素比较修正取值说明楼层</vt:lpstr>
      <vt:lpstr>因素比较修正取值说明面积</vt:lpstr>
      <vt:lpstr>因素比较修正取值说明社会人文环境</vt:lpstr>
      <vt:lpstr>因素比较修正取值说明市场状况调整</vt:lpstr>
      <vt:lpstr>因素比较修正取值说明通风采光</vt:lpstr>
      <vt:lpstr>因素比较修正取值说明土地使用权类型</vt:lpstr>
      <vt:lpstr>因素比较修正取值说明土地使用权剩余使用年期</vt:lpstr>
      <vt:lpstr>因素比较修正取值说明外观</vt:lpstr>
      <vt:lpstr>因素比较修正取值说明物业管理</vt:lpstr>
      <vt:lpstr>因素比较修正取值说明物业名称</vt:lpstr>
      <vt:lpstr>因素比较修正取值说明新旧程度</vt:lpstr>
      <vt:lpstr>因素比较修正取值说明有无抵押他项权</vt:lpstr>
      <vt:lpstr>因素比较修正取值说明有无租约限制</vt:lpstr>
      <vt:lpstr>因素比较修正取值说明装饰装修</vt:lpstr>
      <vt:lpstr>因素比较修正取值说明自然环境</vt:lpstr>
      <vt:lpstr>因素比较修正取值说明总价</vt:lpstr>
      <vt:lpstr>因素比较修正取值说明坐落</vt:lpstr>
      <vt:lpstr>有无抵押他项权修正系数</vt:lpstr>
      <vt:lpstr>有无租约限制修正系数</vt:lpstr>
      <vt:lpstr>增值税变现价格分析</vt:lpstr>
      <vt:lpstr>增值税取费依据</vt:lpstr>
      <vt:lpstr>照片文档路径</vt:lpstr>
      <vt:lpstr>装饰装修</vt:lpstr>
      <vt:lpstr>装饰装修修正系数</vt:lpstr>
      <vt:lpstr>资本化率</vt:lpstr>
      <vt:lpstr>自然环境修正系数</vt:lpstr>
      <vt:lpstr>综合评估单价</vt:lpstr>
      <vt:lpstr>综合评估总价</vt:lpstr>
      <vt:lpstr>综合评估总价大写</vt:lpstr>
      <vt:lpstr>租金增长率</vt:lpstr>
      <vt:lpstr>租金增长年数</vt:lpstr>
      <vt:lpstr>坐落</vt:lpstr>
    </vt:vector>
  </TitlesOfParts>
  <Company>微软公司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李中敬</cp:lastModifiedBy>
  <cp:lastPrinted>2024-08-25T13:58:46Z</cp:lastPrinted>
  <dcterms:created xsi:type="dcterms:W3CDTF">2016-06-28T01:50:00Z</dcterms:created>
  <dcterms:modified xsi:type="dcterms:W3CDTF">2025-09-29T07:04:07Z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2052-11.1.0.12598</vt:lpwstr>
  </property>
  <property fmtid="{D5CDD505-2E9C-101B-9397-08002B2CF9AE}" pid="3" name="ICV">
    <vt:lpwstr>F1F57C0D166A48738848DCF4DEFFC2F4</vt:lpwstr>
  </property>
</Properties>
</file>